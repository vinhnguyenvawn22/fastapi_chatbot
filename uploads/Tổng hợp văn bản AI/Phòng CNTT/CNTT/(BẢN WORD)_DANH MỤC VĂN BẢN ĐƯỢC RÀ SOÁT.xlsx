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NETI-I3\Desktop\ĐÃ RÀ SOÁT\CNTT\"/>
    </mc:Choice>
  </mc:AlternateContent>
  <bookViews>
    <workbookView xWindow="0" yWindow="0" windowWidth="17970" windowHeight="6060"/>
  </bookViews>
  <sheets>
    <sheet name="Sheet1" sheetId="1" r:id="rId1"/>
    <sheet name="Phổ biến PL" sheetId="3" r:id="rId2"/>
    <sheet name="Tổng số VB đã ban hành" sheetId="4" r:id="rId3"/>
  </sheets>
  <definedNames>
    <definedName name="_xlnm._FilterDatabase" localSheetId="0" hidden="1">Sheet1!$A$5:$O$17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8" i="4" l="1"/>
  <c r="H18" i="4"/>
  <c r="G18" i="4"/>
  <c r="F18" i="4"/>
  <c r="E18" i="4"/>
  <c r="D18" i="4"/>
  <c r="J17" i="4"/>
  <c r="J16" i="4"/>
  <c r="J15" i="4"/>
  <c r="J14" i="4"/>
  <c r="J13" i="4"/>
  <c r="J12" i="4"/>
  <c r="J11" i="4"/>
  <c r="J10" i="4"/>
  <c r="J9" i="4"/>
  <c r="J8" i="4"/>
  <c r="J7" i="4"/>
  <c r="J6" i="4"/>
  <c r="J18" i="4" s="1"/>
  <c r="H24" i="3" l="1"/>
  <c r="G24" i="3"/>
  <c r="F24" i="3"/>
  <c r="E24" i="3"/>
  <c r="D24" i="3"/>
</calcChain>
</file>

<file path=xl/sharedStrings.xml><?xml version="1.0" encoding="utf-8"?>
<sst xmlns="http://schemas.openxmlformats.org/spreadsheetml/2006/main" count="100" uniqueCount="75">
  <si>
    <t>Quy định tổ chức, quản lý, sử dụng hệ thống thiết bị trên giảng đường, phòng thực hành, thí nghiệm trong hoạt động của trường Đại học Kinh tế - Kỹ thuật Công nghiệp</t>
  </si>
  <si>
    <t>Quy định về việc quản lý, sử dụng thư điện tử trong hoạt động của Trường Đại học Kinh tế - Kỹ thuật Công nghiệp</t>
  </si>
  <si>
    <t>QĐ số 732 ngày 20/10/2018</t>
  </si>
  <si>
    <t>Quy định tổ chức quản lý, sử dụng hệ thống mạng của Trường Đại học Kinh tế - Kỹ thuật Công nghiệp</t>
  </si>
  <si>
    <t>QĐ số 731 ngày 20/10/2018</t>
  </si>
  <si>
    <t>II</t>
  </si>
  <si>
    <t>HĐT</t>
  </si>
  <si>
    <t>TT</t>
  </si>
  <si>
    <t>Tên văn bản</t>
  </si>
  <si>
    <t>Đơn vị đầu mối</t>
  </si>
  <si>
    <t>Ghi chú</t>
  </si>
  <si>
    <t xml:space="preserve">DANH MỤC HỆ THỐNG VĂN BẢN QUẢN LÝ NHÀ TRƯỜNG ĐÃ ĐƯỢC BAN HÀNH </t>
  </si>
  <si>
    <t>Số, ngày, tháng ban hành</t>
  </si>
  <si>
    <t>BỘ CÔNG THƯƠNG
TRƯỜNG ĐẠI HỌC
KINH TẾ - KỸ THUẬT CÔNG NGHIÊP</t>
  </si>
  <si>
    <t>CỘNG HÒA XÃ HỘI CHỦ NGHĨA VIỆT NAM
Độc lập - Tự do - Hạnh phúc</t>
  </si>
  <si>
    <t>Quy định ứng dụng công nghệ thông tin trong quản lý, tổ chức đào tạo qua mạng</t>
  </si>
  <si>
    <t>QĐ số 665 ngày 05/9/2022</t>
  </si>
  <si>
    <t>Quy định đảm bảo an ninh, an toàn thông tin trong hoạt động ứng dụng công nghệ thông tin tại Trường Đại học Kinh tế - Kỹ thuật Công nghiệp</t>
  </si>
  <si>
    <t>QĐ số 855 ngày 25/9/2023</t>
  </si>
  <si>
    <t>Khảo thí &amp; ĐBCL</t>
  </si>
  <si>
    <t>Hành chính quản trị</t>
  </si>
  <si>
    <t>Thư viện</t>
  </si>
  <si>
    <t>Hợp tác quốc tế</t>
  </si>
  <si>
    <t>Tổng</t>
  </si>
  <si>
    <t>Quy định về tổ chức, hoạt động, quản lý, sử dụng và cung cấp thông tin trên trang thông tin điện tử của Trường Đại học Kinh tế - Kỹ thuật Công nhiệp</t>
  </si>
  <si>
    <t>QĐ số 885 ngày 17/12/2018</t>
  </si>
  <si>
    <t>Đào tạo</t>
  </si>
  <si>
    <t>Khoa học công nghệ</t>
  </si>
  <si>
    <t>Kế hoạch chiến lược</t>
  </si>
  <si>
    <t>Lĩnh vực khác</t>
  </si>
  <si>
    <t>Lĩnh vực ban hành văn bản</t>
  </si>
  <si>
    <t>Tổng số văn bản</t>
  </si>
  <si>
    <t>Tổng số văn bản còn hiệu lực</t>
  </si>
  <si>
    <t>Tổng số văn bản sửa đổi, bổ sung còn hiệu lực</t>
  </si>
  <si>
    <t>Tổng số văn bản hết hiệu lực</t>
  </si>
  <si>
    <t>Tổng số VB được phổ biến nội dung</t>
  </si>
  <si>
    <t>(6) = ((3)-(4)</t>
  </si>
  <si>
    <t>Tổ chức cán bộ</t>
  </si>
  <si>
    <t>Tài chính kế toán</t>
  </si>
  <si>
    <t>Chính trị và công tác sinh viên</t>
  </si>
  <si>
    <t>Tuyển sinh và Truyền thông</t>
  </si>
  <si>
    <t>Thanh tra – Pháp chế</t>
  </si>
  <si>
    <t>Quốc phòng an ninh</t>
  </si>
  <si>
    <t xml:space="preserve">BỘ CÔNG THƯƠNG
TRƯỜNG ĐẠI HỌC
KINH TẾ - KỸ THUẬT CÔNG NGHIỆP
</t>
  </si>
  <si>
    <t>DANH MỤC HỆ THỐNG VĂN BẢN QUẢN LÝ NHÀ TRƯỜNG ĐÃ ĐƯỢC BAN HÀNH 
TỪ NĂM 2018-2023</t>
  </si>
  <si>
    <t>văn bản do HĐT ban hành</t>
  </si>
  <si>
    <t>2 = 3+5</t>
  </si>
  <si>
    <t>Quy định quản lý và sử dụng phần mềm tại Trường Đại học Kinh tế - Kỹ thuật Công nghiệp</t>
  </si>
  <si>
    <t>Quyết định 799/QĐ-ĐHKTKTCN ngày 17/9/2024</t>
  </si>
  <si>
    <t>Quyết định sửa đổi, bổ sung một số điều quy định về việc quản lý, sử dụng thư điện tử trong hoạt động của Trường Đại học Kinh tế - Kỹ thuật Công nghiệp kèm theo Quyết định số 732/QĐ-ĐHKTKTCN ngày 20/10/2018 của Trường Đại học Kinh tế - Kỹ thuật Công nghiệp</t>
  </si>
  <si>
    <t>Quyết định 800/QĐ-ĐHKTKTCN ngày 17/9/2024</t>
  </si>
  <si>
    <t>Phòng CNTT</t>
  </si>
  <si>
    <t>PHÒNG CÔNG NGHỆ THÔNG TIN</t>
  </si>
  <si>
    <t>Năm ban hành</t>
  </si>
  <si>
    <t>Đơn vị</t>
  </si>
  <si>
    <t>2018-2020</t>
  </si>
  <si>
    <t>thư viện</t>
  </si>
  <si>
    <t>CTSV + TSTT</t>
  </si>
  <si>
    <t>KHCN</t>
  </si>
  <si>
    <t>KH&amp;ĐBCL</t>
  </si>
  <si>
    <t>HCQT+TCKT</t>
  </si>
  <si>
    <t>TCCB</t>
  </si>
  <si>
    <t>TTPC</t>
  </si>
  <si>
    <t>Các TT</t>
  </si>
  <si>
    <t>CNTT</t>
  </si>
  <si>
    <t>Quyết định sửa đổi, bổ sung một số điều Quy định về việc tổ chức quản lý, sử dụng hệ thống mạng của Trường ĐHKTKTCN ban hành kèm theo QĐ số 731/QĐ-ĐHKTKTCN ngày 20/10/2018</t>
  </si>
  <si>
    <t>Quyết định số 877/QĐ-ĐHKTKTCN ngày 20/8/2025</t>
  </si>
  <si>
    <t>Quyết định số 878/QĐ-ĐHKTKTCN ngày 20/8/2025</t>
  </si>
  <si>
    <t>Quy định quản lý, vận hành, khai thác và sử dụng hệ thống camera giám sát tại Trường ĐHKTKTCN</t>
  </si>
  <si>
    <t>Quyết định số 879/QĐ-ĐHKTKTCN ngày 20/8/2025</t>
  </si>
  <si>
    <t>Quy định khai thác, sử dụng, bảo quản và bào trì thiết bị tại phòng học và phòng họp của Trường ĐHKTKTCN</t>
  </si>
  <si>
    <t>Quyết định số 880/QĐ-ĐHKTKTCN ngày 20/8/2025</t>
  </si>
  <si>
    <t>TỪ NĂM 2018 ĐẾN NĂM 2025</t>
  </si>
  <si>
    <t>Đã được rà soát</t>
  </si>
  <si>
    <t>Không có bản 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</si>
</sst>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4"/>
      <color theme="1"/>
      <name val="Times New Roman"/>
      <family val="1"/>
    </font>
    <font>
      <sz val="13"/>
      <color theme="1"/>
      <name val="Times New Roman"/>
      <family val="1"/>
    </font>
    <font>
      <sz val="13"/>
      <color rgb="FF000000"/>
      <name val="Times New Roman"/>
      <family val="1"/>
    </font>
    <font>
      <sz val="12"/>
      <color rgb="FF000000"/>
      <name val="Times New Roman"/>
      <family val="1"/>
    </font>
    <font>
      <sz val="12"/>
      <color theme="1"/>
      <name val="Times New Roman"/>
      <family val="1"/>
    </font>
    <font>
      <b/>
      <sz val="12"/>
      <color theme="1"/>
      <name val="Times New Roman"/>
      <family val="1"/>
    </font>
    <font>
      <b/>
      <sz val="13"/>
      <color theme="1"/>
      <name val="Times New Roman"/>
      <family val="1"/>
    </font>
    <font>
      <b/>
      <sz val="13"/>
      <color rgb="FF000000"/>
      <name val="Times New Roman"/>
      <family val="1"/>
    </font>
    <font>
      <b/>
      <sz val="11"/>
      <color theme="1"/>
      <name val="Times New Roman"/>
      <family val="1"/>
    </font>
    <font>
      <b/>
      <sz val="14"/>
      <color rgb="FF000000"/>
      <name val="Times New Roman"/>
      <family val="1"/>
    </font>
    <font>
      <b/>
      <sz val="14"/>
      <color theme="1"/>
      <name val="Times New Roman"/>
      <family val="1"/>
    </font>
    <font>
      <i/>
      <sz val="13"/>
      <color theme="1"/>
      <name val="Times New Roman"/>
      <family val="1"/>
    </font>
    <font>
      <sz val="11"/>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40">
    <xf numFmtId="0" fontId="0" fillId="0" borderId="0" xfId="0"/>
    <xf numFmtId="0" fontId="1" fillId="0" borderId="0" xfId="0" applyFont="1" applyFill="1"/>
    <xf numFmtId="0" fontId="3" fillId="0" borderId="1" xfId="0" applyFont="1" applyFill="1" applyBorder="1" applyAlignment="1">
      <alignment horizontal="center" vertical="center" wrapText="1"/>
    </xf>
    <xf numFmtId="0" fontId="2" fillId="0" borderId="1" xfId="0" applyFont="1" applyFill="1" applyBorder="1" applyAlignment="1">
      <alignment horizontal="justify" vertical="center" wrapText="1"/>
    </xf>
    <xf numFmtId="0" fontId="2" fillId="0" borderId="1" xfId="0" applyFont="1" applyFill="1" applyBorder="1" applyAlignment="1">
      <alignment vertical="center" wrapText="1"/>
    </xf>
    <xf numFmtId="0" fontId="3" fillId="0" borderId="1" xfId="0" applyFont="1" applyFill="1" applyBorder="1" applyAlignment="1">
      <alignment vertical="center" wrapText="1"/>
    </xf>
    <xf numFmtId="0" fontId="6" fillId="0" borderId="1" xfId="0" applyFont="1" applyFill="1" applyBorder="1" applyAlignment="1">
      <alignment horizontal="center" vertical="center" wrapText="1"/>
    </xf>
    <xf numFmtId="0" fontId="1" fillId="0" borderId="1" xfId="0" applyFont="1" applyFill="1" applyBorder="1"/>
    <xf numFmtId="0" fontId="5"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11" fillId="0" borderId="0" xfId="0" applyFont="1" applyFill="1" applyAlignment="1">
      <alignment horizontal="center" wrapText="1"/>
    </xf>
    <xf numFmtId="0" fontId="2"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1" fillId="0" borderId="0" xfId="0" applyFont="1" applyFill="1" applyAlignment="1">
      <alignment horizontal="center"/>
    </xf>
    <xf numFmtId="0" fontId="2" fillId="0" borderId="0" xfId="0" applyFont="1" applyAlignment="1"/>
    <xf numFmtId="0" fontId="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2" fillId="0" borderId="1" xfId="0" applyFont="1" applyBorder="1" applyAlignment="1">
      <alignment vertical="center" wrapText="1"/>
    </xf>
    <xf numFmtId="0" fontId="0" fillId="0" borderId="0" xfId="0" applyBorder="1"/>
    <xf numFmtId="0" fontId="2" fillId="0" borderId="0" xfId="0" applyFont="1" applyAlignment="1">
      <alignment vertical="center" wrapText="1"/>
    </xf>
    <xf numFmtId="0" fontId="7" fillId="0" borderId="1" xfId="0" applyFont="1" applyBorder="1" applyAlignment="1">
      <alignment horizontal="center" vertical="center" wrapText="1"/>
    </xf>
    <xf numFmtId="0" fontId="11" fillId="0" borderId="1" xfId="0" applyFont="1" applyFill="1" applyBorder="1" applyAlignment="1">
      <alignment horizontal="center" vertical="center"/>
    </xf>
    <xf numFmtId="0" fontId="9" fillId="0" borderId="1" xfId="0" applyFont="1" applyBorder="1"/>
    <xf numFmtId="0" fontId="9" fillId="0" borderId="1" xfId="0" applyFont="1" applyBorder="1" applyAlignment="1">
      <alignment horizontal="center" vertical="center"/>
    </xf>
    <xf numFmtId="0" fontId="13" fillId="0" borderId="1" xfId="0" applyFont="1" applyBorder="1"/>
    <xf numFmtId="0" fontId="13" fillId="0" borderId="1" xfId="0" applyFont="1" applyBorder="1" applyAlignment="1">
      <alignment horizontal="center" vertical="center"/>
    </xf>
    <xf numFmtId="0" fontId="11" fillId="0" borderId="0" xfId="0" applyFont="1" applyFill="1"/>
    <xf numFmtId="0" fontId="11" fillId="0" borderId="0" xfId="0" applyFont="1" applyFill="1" applyAlignment="1">
      <alignment horizontal="center" vertical="top" wrapText="1"/>
    </xf>
    <xf numFmtId="0" fontId="11" fillId="0" borderId="0" xfId="0" applyFont="1" applyFill="1" applyAlignment="1">
      <alignment horizontal="center" vertical="top"/>
    </xf>
    <xf numFmtId="0" fontId="10" fillId="0" borderId="0" xfId="0" applyFont="1" applyFill="1" applyAlignment="1">
      <alignment horizontal="center" wrapText="1"/>
    </xf>
    <xf numFmtId="0" fontId="8" fillId="0" borderId="0" xfId="0" applyFont="1" applyFill="1" applyAlignment="1">
      <alignment horizontal="center" vertical="center" wrapText="1"/>
    </xf>
    <xf numFmtId="0" fontId="7" fillId="0" borderId="1" xfId="0" applyFont="1" applyFill="1" applyBorder="1" applyAlignment="1">
      <alignment horizontal="left" vertical="center" wrapText="1"/>
    </xf>
    <xf numFmtId="0" fontId="7" fillId="0" borderId="4" xfId="0" applyFont="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9"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495300</xdr:colOff>
      <xdr:row>3</xdr:row>
      <xdr:rowOff>209550</xdr:rowOff>
    </xdr:from>
    <xdr:to>
      <xdr:col>3</xdr:col>
      <xdr:colOff>685800</xdr:colOff>
      <xdr:row>3</xdr:row>
      <xdr:rowOff>228600</xdr:rowOff>
    </xdr:to>
    <xdr:cxnSp macro="">
      <xdr:nvCxnSpPr>
        <xdr:cNvPr id="3" name="Straight Connector 2"/>
        <xdr:cNvCxnSpPr/>
      </xdr:nvCxnSpPr>
      <xdr:spPr>
        <a:xfrm flipV="1">
          <a:off x="1714500" y="990600"/>
          <a:ext cx="1571625" cy="190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857250</xdr:colOff>
      <xdr:row>3</xdr:row>
      <xdr:rowOff>209550</xdr:rowOff>
    </xdr:from>
    <xdr:to>
      <xdr:col>7</xdr:col>
      <xdr:colOff>514350</xdr:colOff>
      <xdr:row>3</xdr:row>
      <xdr:rowOff>209550</xdr:rowOff>
    </xdr:to>
    <xdr:cxnSp macro="">
      <xdr:nvCxnSpPr>
        <xdr:cNvPr id="5" name="Straight Connector 4"/>
        <xdr:cNvCxnSpPr/>
      </xdr:nvCxnSpPr>
      <xdr:spPr>
        <a:xfrm>
          <a:off x="5172075" y="990600"/>
          <a:ext cx="17621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tabSelected="1" topLeftCell="A5" zoomScale="80" zoomScaleNormal="80" workbookViewId="0">
      <selection activeCell="F19" sqref="F19"/>
    </sheetView>
  </sheetViews>
  <sheetFormatPr defaultRowHeight="18.75" x14ac:dyDescent="0.3"/>
  <cols>
    <col min="1" max="1" width="8.5703125" style="1" customWidth="1"/>
    <col min="2" max="2" width="62.42578125" style="1" customWidth="1"/>
    <col min="3" max="3" width="23.5703125" style="15" customWidth="1"/>
    <col min="4" max="4" width="20.85546875" style="15" customWidth="1"/>
    <col min="5" max="5" width="21.7109375" style="1" customWidth="1"/>
    <col min="6" max="6" width="15.7109375" style="1" customWidth="1"/>
    <col min="7" max="16384" width="9.140625" style="1"/>
  </cols>
  <sheetData>
    <row r="1" spans="1:5" ht="56.25" x14ac:dyDescent="0.3">
      <c r="B1" s="11" t="s">
        <v>13</v>
      </c>
      <c r="C1" s="29" t="s">
        <v>14</v>
      </c>
      <c r="D1" s="30"/>
      <c r="E1" s="30"/>
    </row>
    <row r="2" spans="1:5" ht="64.5" customHeight="1" x14ac:dyDescent="0.3">
      <c r="A2" s="31" t="s">
        <v>11</v>
      </c>
      <c r="B2" s="31"/>
      <c r="C2" s="31"/>
      <c r="D2" s="31"/>
      <c r="E2" s="31"/>
    </row>
    <row r="3" spans="1:5" ht="23.25" customHeight="1" x14ac:dyDescent="0.3">
      <c r="A3" s="32" t="s">
        <v>72</v>
      </c>
      <c r="B3" s="32"/>
      <c r="C3" s="32"/>
      <c r="D3" s="32"/>
      <c r="E3" s="32"/>
    </row>
    <row r="5" spans="1:5" ht="30.75" customHeight="1" x14ac:dyDescent="0.3">
      <c r="A5" s="6" t="s">
        <v>7</v>
      </c>
      <c r="B5" s="6" t="s">
        <v>8</v>
      </c>
      <c r="C5" s="6" t="s">
        <v>12</v>
      </c>
      <c r="D5" s="6" t="s">
        <v>9</v>
      </c>
      <c r="E5" s="9" t="s">
        <v>10</v>
      </c>
    </row>
    <row r="6" spans="1:5" x14ac:dyDescent="0.3">
      <c r="A6" s="23" t="s">
        <v>5</v>
      </c>
      <c r="B6" s="33" t="s">
        <v>52</v>
      </c>
      <c r="C6" s="33"/>
      <c r="D6" s="33"/>
      <c r="E6" s="33"/>
    </row>
    <row r="7" spans="1:5" ht="49.5" x14ac:dyDescent="0.3">
      <c r="A7" s="23">
        <v>1</v>
      </c>
      <c r="B7" s="12" t="s">
        <v>70</v>
      </c>
      <c r="C7" s="13" t="s">
        <v>71</v>
      </c>
      <c r="D7" s="13" t="s">
        <v>51</v>
      </c>
      <c r="E7" s="7" t="s">
        <v>73</v>
      </c>
    </row>
    <row r="8" spans="1:5" ht="49.5" x14ac:dyDescent="0.3">
      <c r="A8" s="23">
        <v>2</v>
      </c>
      <c r="B8" s="12" t="s">
        <v>68</v>
      </c>
      <c r="C8" s="13" t="s">
        <v>69</v>
      </c>
      <c r="D8" s="13" t="s">
        <v>51</v>
      </c>
      <c r="E8" s="7" t="s">
        <v>73</v>
      </c>
    </row>
    <row r="9" spans="1:5" ht="49.5" x14ac:dyDescent="0.3">
      <c r="A9" s="23">
        <v>3</v>
      </c>
      <c r="B9" s="12" t="s">
        <v>0</v>
      </c>
      <c r="C9" s="13" t="s">
        <v>67</v>
      </c>
      <c r="D9" s="13" t="s">
        <v>51</v>
      </c>
      <c r="E9" s="7" t="s">
        <v>73</v>
      </c>
    </row>
    <row r="10" spans="1:5" ht="66" x14ac:dyDescent="0.3">
      <c r="A10" s="23">
        <v>4</v>
      </c>
      <c r="B10" s="12" t="s">
        <v>65</v>
      </c>
      <c r="C10" s="13" t="s">
        <v>66</v>
      </c>
      <c r="D10" s="13" t="s">
        <v>51</v>
      </c>
      <c r="E10" s="7" t="s">
        <v>73</v>
      </c>
    </row>
    <row r="11" spans="1:5" ht="49.5" x14ac:dyDescent="0.3">
      <c r="A11" s="23">
        <v>5</v>
      </c>
      <c r="B11" s="5" t="s">
        <v>47</v>
      </c>
      <c r="C11" s="2" t="s">
        <v>48</v>
      </c>
      <c r="D11" s="13" t="s">
        <v>51</v>
      </c>
      <c r="E11" s="7" t="s">
        <v>73</v>
      </c>
    </row>
    <row r="12" spans="1:5" ht="82.5" x14ac:dyDescent="0.3">
      <c r="A12" s="23">
        <v>6</v>
      </c>
      <c r="B12" s="5" t="s">
        <v>49</v>
      </c>
      <c r="C12" s="2" t="s">
        <v>50</v>
      </c>
      <c r="D12" s="13" t="s">
        <v>51</v>
      </c>
      <c r="E12" s="7" t="s">
        <v>73</v>
      </c>
    </row>
    <row r="13" spans="1:5" ht="49.5" x14ac:dyDescent="0.3">
      <c r="A13" s="23">
        <v>7</v>
      </c>
      <c r="B13" s="4" t="s">
        <v>17</v>
      </c>
      <c r="C13" s="13" t="s">
        <v>18</v>
      </c>
      <c r="D13" s="13" t="s">
        <v>51</v>
      </c>
      <c r="E13" s="7" t="s">
        <v>73</v>
      </c>
    </row>
    <row r="14" spans="1:5" ht="33" x14ac:dyDescent="0.3">
      <c r="A14" s="23">
        <v>8</v>
      </c>
      <c r="B14" s="4" t="s">
        <v>15</v>
      </c>
      <c r="C14" s="10" t="s">
        <v>16</v>
      </c>
      <c r="D14" s="13" t="s">
        <v>51</v>
      </c>
      <c r="E14" s="7" t="s">
        <v>73</v>
      </c>
    </row>
    <row r="15" spans="1:5" ht="34.5" customHeight="1" x14ac:dyDescent="0.3">
      <c r="A15" s="23">
        <v>9</v>
      </c>
      <c r="B15" s="3" t="s">
        <v>1</v>
      </c>
      <c r="C15" s="8" t="s">
        <v>2</v>
      </c>
      <c r="D15" s="13" t="s">
        <v>51</v>
      </c>
      <c r="E15" s="14" t="s">
        <v>74</v>
      </c>
    </row>
    <row r="16" spans="1:5" ht="37.5" x14ac:dyDescent="0.3">
      <c r="A16" s="23">
        <v>10</v>
      </c>
      <c r="B16" s="3" t="s">
        <v>3</v>
      </c>
      <c r="C16" s="8" t="s">
        <v>4</v>
      </c>
      <c r="D16" s="13" t="s">
        <v>51</v>
      </c>
      <c r="E16" s="14" t="s">
        <v>74</v>
      </c>
    </row>
    <row r="17" spans="1:6" ht="49.5" x14ac:dyDescent="0.3">
      <c r="A17" s="23">
        <v>11</v>
      </c>
      <c r="B17" s="3" t="s">
        <v>24</v>
      </c>
      <c r="C17" s="8" t="s">
        <v>25</v>
      </c>
      <c r="D17" s="13" t="s">
        <v>51</v>
      </c>
      <c r="E17" s="14" t="s">
        <v>74</v>
      </c>
    </row>
    <row r="18" spans="1:6" x14ac:dyDescent="0.3">
      <c r="F18" s="28"/>
    </row>
  </sheetData>
  <mergeCells count="4">
    <mergeCell ref="C1:E1"/>
    <mergeCell ref="A2:E2"/>
    <mergeCell ref="A3:E3"/>
    <mergeCell ref="B6:E6"/>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34"/>
  <sheetViews>
    <sheetView topLeftCell="A7" workbookViewId="0">
      <selection activeCell="F30" sqref="F30"/>
    </sheetView>
  </sheetViews>
  <sheetFormatPr defaultRowHeight="15" x14ac:dyDescent="0.25"/>
  <cols>
    <col min="2" max="2" width="9.140625" customWidth="1"/>
    <col min="3" max="3" width="22" customWidth="1"/>
    <col min="4" max="4" width="13" customWidth="1"/>
    <col min="5" max="5" width="12.7109375" customWidth="1"/>
    <col min="6" max="6" width="17.7109375" customWidth="1"/>
    <col min="7" max="7" width="15.28515625" customWidth="1"/>
    <col min="8" max="8" width="21.140625" customWidth="1"/>
    <col min="11" max="11" width="9.28515625" customWidth="1"/>
  </cols>
  <sheetData>
    <row r="1" spans="2:12" ht="28.5" customHeight="1" x14ac:dyDescent="0.25"/>
    <row r="2" spans="2:12" ht="16.5" x14ac:dyDescent="0.25">
      <c r="B2" s="35" t="s">
        <v>43</v>
      </c>
      <c r="C2" s="36"/>
      <c r="D2" s="36"/>
      <c r="E2" s="36"/>
      <c r="F2" s="35" t="s">
        <v>14</v>
      </c>
      <c r="G2" s="36"/>
      <c r="H2" s="36"/>
      <c r="I2" s="16"/>
      <c r="J2" s="16"/>
      <c r="K2" s="16"/>
      <c r="L2" s="16"/>
    </row>
    <row r="3" spans="2:12" ht="16.5" x14ac:dyDescent="0.25">
      <c r="B3" s="36"/>
      <c r="C3" s="36"/>
      <c r="D3" s="36"/>
      <c r="E3" s="36"/>
      <c r="F3" s="36"/>
      <c r="G3" s="36"/>
      <c r="H3" s="36"/>
      <c r="I3" s="16"/>
      <c r="J3" s="16"/>
      <c r="K3" s="16"/>
      <c r="L3" s="16"/>
    </row>
    <row r="4" spans="2:12" ht="33.75" customHeight="1" x14ac:dyDescent="0.25">
      <c r="B4" s="36"/>
      <c r="C4" s="36"/>
      <c r="D4" s="36"/>
      <c r="E4" s="36"/>
      <c r="F4" s="36"/>
      <c r="G4" s="36"/>
      <c r="H4" s="36"/>
    </row>
    <row r="6" spans="2:12" ht="47.25" customHeight="1" x14ac:dyDescent="0.25">
      <c r="B6" s="34" t="s">
        <v>44</v>
      </c>
      <c r="C6" s="34"/>
      <c r="D6" s="34"/>
      <c r="E6" s="34"/>
      <c r="F6" s="34"/>
      <c r="G6" s="34"/>
      <c r="H6" s="34"/>
      <c r="I6" s="21"/>
      <c r="J6" s="21"/>
      <c r="K6" s="21"/>
    </row>
    <row r="7" spans="2:12" ht="66.75" customHeight="1" x14ac:dyDescent="0.25">
      <c r="B7" s="22" t="s">
        <v>7</v>
      </c>
      <c r="C7" s="22" t="s">
        <v>30</v>
      </c>
      <c r="D7" s="22" t="s">
        <v>31</v>
      </c>
      <c r="E7" s="22" t="s">
        <v>32</v>
      </c>
      <c r="F7" s="22" t="s">
        <v>33</v>
      </c>
      <c r="G7" s="22" t="s">
        <v>34</v>
      </c>
      <c r="H7" s="22" t="s">
        <v>35</v>
      </c>
    </row>
    <row r="8" spans="2:12" ht="16.5" x14ac:dyDescent="0.25">
      <c r="B8" s="17"/>
      <c r="C8" s="18">
        <v>-1</v>
      </c>
      <c r="D8" s="18" t="s">
        <v>46</v>
      </c>
      <c r="E8" s="18">
        <v>-3</v>
      </c>
      <c r="F8" s="18">
        <v>-4</v>
      </c>
      <c r="G8" s="18">
        <v>-5</v>
      </c>
      <c r="H8" s="18" t="s">
        <v>36</v>
      </c>
    </row>
    <row r="9" spans="2:12" ht="33" x14ac:dyDescent="0.25">
      <c r="B9" s="17"/>
      <c r="C9" s="18" t="s">
        <v>28</v>
      </c>
      <c r="D9" s="18">
        <v>2</v>
      </c>
      <c r="E9" s="18">
        <v>1</v>
      </c>
      <c r="F9" s="18">
        <v>0</v>
      </c>
      <c r="G9" s="18">
        <v>1</v>
      </c>
      <c r="H9" s="18">
        <v>1</v>
      </c>
    </row>
    <row r="10" spans="2:12" ht="33" x14ac:dyDescent="0.25">
      <c r="B10" s="17"/>
      <c r="C10" s="18" t="s">
        <v>45</v>
      </c>
      <c r="D10" s="18">
        <v>5</v>
      </c>
      <c r="E10" s="18">
        <v>5</v>
      </c>
      <c r="F10" s="18">
        <v>1</v>
      </c>
      <c r="G10" s="18">
        <v>0</v>
      </c>
      <c r="H10" s="18">
        <v>4</v>
      </c>
    </row>
    <row r="11" spans="2:12" ht="16.5" x14ac:dyDescent="0.25">
      <c r="B11" s="17">
        <v>1</v>
      </c>
      <c r="C11" s="19" t="s">
        <v>26</v>
      </c>
      <c r="D11" s="17">
        <v>44</v>
      </c>
      <c r="E11" s="17">
        <v>29</v>
      </c>
      <c r="F11" s="17">
        <v>1</v>
      </c>
      <c r="G11" s="17">
        <v>15</v>
      </c>
      <c r="H11" s="17">
        <v>28</v>
      </c>
    </row>
    <row r="12" spans="2:12" ht="16.5" x14ac:dyDescent="0.25">
      <c r="B12" s="17">
        <v>2</v>
      </c>
      <c r="C12" s="19" t="s">
        <v>27</v>
      </c>
      <c r="D12" s="17">
        <v>13</v>
      </c>
      <c r="E12" s="17">
        <v>9</v>
      </c>
      <c r="F12" s="17">
        <v>0</v>
      </c>
      <c r="G12" s="17">
        <v>4</v>
      </c>
      <c r="H12" s="17">
        <v>9</v>
      </c>
    </row>
    <row r="13" spans="2:12" ht="16.5" x14ac:dyDescent="0.25">
      <c r="B13" s="17">
        <v>3</v>
      </c>
      <c r="C13" s="19" t="s">
        <v>37</v>
      </c>
      <c r="D13" s="17">
        <v>22</v>
      </c>
      <c r="E13" s="17">
        <v>10</v>
      </c>
      <c r="F13" s="17">
        <v>3</v>
      </c>
      <c r="G13" s="17">
        <v>12</v>
      </c>
      <c r="H13" s="17">
        <v>7</v>
      </c>
    </row>
    <row r="14" spans="2:12" ht="16.5" x14ac:dyDescent="0.25">
      <c r="B14" s="17">
        <v>4</v>
      </c>
      <c r="C14" s="19" t="s">
        <v>38</v>
      </c>
      <c r="D14" s="17">
        <v>6</v>
      </c>
      <c r="E14" s="17">
        <v>1</v>
      </c>
      <c r="F14" s="17">
        <v>0</v>
      </c>
      <c r="G14" s="17">
        <v>5</v>
      </c>
      <c r="H14" s="17">
        <v>1</v>
      </c>
    </row>
    <row r="15" spans="2:12" ht="33" x14ac:dyDescent="0.25">
      <c r="B15" s="17">
        <v>5</v>
      </c>
      <c r="C15" s="19" t="s">
        <v>39</v>
      </c>
      <c r="D15" s="17">
        <v>22</v>
      </c>
      <c r="E15" s="17">
        <v>16</v>
      </c>
      <c r="F15" s="17">
        <v>4</v>
      </c>
      <c r="G15" s="17">
        <v>6</v>
      </c>
      <c r="H15" s="17">
        <v>12</v>
      </c>
    </row>
    <row r="16" spans="2:12" ht="33" x14ac:dyDescent="0.25">
      <c r="B16" s="17">
        <v>6</v>
      </c>
      <c r="C16" s="19" t="s">
        <v>40</v>
      </c>
      <c r="D16" s="17">
        <v>3</v>
      </c>
      <c r="E16" s="17">
        <v>3</v>
      </c>
      <c r="F16" s="17">
        <v>0</v>
      </c>
      <c r="G16" s="17">
        <v>0</v>
      </c>
      <c r="H16" s="17">
        <v>3</v>
      </c>
    </row>
    <row r="17" spans="2:11" ht="16.5" x14ac:dyDescent="0.25">
      <c r="B17" s="17">
        <v>7</v>
      </c>
      <c r="C17" s="19" t="s">
        <v>41</v>
      </c>
      <c r="D17" s="17">
        <v>6</v>
      </c>
      <c r="E17" s="17">
        <v>6</v>
      </c>
      <c r="F17" s="17">
        <v>1</v>
      </c>
      <c r="G17" s="17">
        <v>0</v>
      </c>
      <c r="H17" s="17">
        <v>5</v>
      </c>
    </row>
    <row r="18" spans="2:11" ht="16.5" x14ac:dyDescent="0.25">
      <c r="B18" s="17">
        <v>8</v>
      </c>
      <c r="C18" s="19" t="s">
        <v>19</v>
      </c>
      <c r="D18" s="17">
        <v>10</v>
      </c>
      <c r="E18" s="17">
        <v>7</v>
      </c>
      <c r="F18" s="17">
        <v>0</v>
      </c>
      <c r="G18" s="17">
        <v>3</v>
      </c>
      <c r="H18" s="17">
        <v>7</v>
      </c>
    </row>
    <row r="19" spans="2:11" ht="16.5" x14ac:dyDescent="0.25">
      <c r="B19" s="17">
        <v>9</v>
      </c>
      <c r="C19" s="19" t="s">
        <v>20</v>
      </c>
      <c r="D19" s="17">
        <v>8</v>
      </c>
      <c r="E19" s="17">
        <v>8</v>
      </c>
      <c r="F19" s="17">
        <v>1</v>
      </c>
      <c r="G19" s="17">
        <v>0</v>
      </c>
      <c r="H19" s="17">
        <v>7</v>
      </c>
    </row>
    <row r="20" spans="2:11" ht="16.5" x14ac:dyDescent="0.25">
      <c r="B20" s="17">
        <v>10</v>
      </c>
      <c r="C20" s="19" t="s">
        <v>21</v>
      </c>
      <c r="D20" s="17">
        <v>7</v>
      </c>
      <c r="E20" s="17">
        <v>3</v>
      </c>
      <c r="F20" s="17">
        <v>0</v>
      </c>
      <c r="G20" s="17">
        <v>4</v>
      </c>
      <c r="H20" s="17">
        <v>3</v>
      </c>
    </row>
    <row r="21" spans="2:11" ht="16.5" x14ac:dyDescent="0.25">
      <c r="B21" s="17">
        <v>11</v>
      </c>
      <c r="C21" s="19" t="s">
        <v>22</v>
      </c>
      <c r="D21" s="17">
        <v>4</v>
      </c>
      <c r="E21" s="17">
        <v>3</v>
      </c>
      <c r="F21" s="17">
        <v>0</v>
      </c>
      <c r="G21" s="17">
        <v>1</v>
      </c>
      <c r="H21" s="17">
        <v>3</v>
      </c>
    </row>
    <row r="22" spans="2:11" ht="16.5" x14ac:dyDescent="0.25">
      <c r="B22" s="17">
        <v>12</v>
      </c>
      <c r="C22" s="19" t="s">
        <v>42</v>
      </c>
      <c r="D22" s="17">
        <v>9</v>
      </c>
      <c r="E22" s="17">
        <v>9</v>
      </c>
      <c r="F22" s="17">
        <v>0</v>
      </c>
      <c r="G22" s="17">
        <v>0</v>
      </c>
      <c r="H22" s="17">
        <v>9</v>
      </c>
    </row>
    <row r="23" spans="2:11" ht="16.5" x14ac:dyDescent="0.25">
      <c r="B23" s="17">
        <v>13</v>
      </c>
      <c r="C23" s="19" t="s">
        <v>29</v>
      </c>
      <c r="D23" s="17">
        <v>3</v>
      </c>
      <c r="E23" s="17">
        <v>3</v>
      </c>
      <c r="F23" s="17">
        <v>0</v>
      </c>
      <c r="G23" s="17">
        <v>0</v>
      </c>
      <c r="H23" s="17">
        <v>3</v>
      </c>
    </row>
    <row r="24" spans="2:11" ht="16.5" x14ac:dyDescent="0.25">
      <c r="B24" s="37" t="s">
        <v>23</v>
      </c>
      <c r="C24" s="38"/>
      <c r="D24" s="17">
        <f>SUM(D9:D23)</f>
        <v>164</v>
      </c>
      <c r="E24" s="17">
        <f>SUM(E9:E23)</f>
        <v>113</v>
      </c>
      <c r="F24" s="17">
        <f>SUM(F9:F23)</f>
        <v>11</v>
      </c>
      <c r="G24" s="17">
        <f>SUM(G9:G23)</f>
        <v>51</v>
      </c>
      <c r="H24" s="17">
        <f>SUM(H9:H23)</f>
        <v>102</v>
      </c>
    </row>
    <row r="25" spans="2:11" x14ac:dyDescent="0.25">
      <c r="D25" s="20"/>
      <c r="E25" s="20"/>
      <c r="F25" s="20"/>
      <c r="G25" s="20"/>
      <c r="H25" s="20"/>
      <c r="I25" s="20"/>
      <c r="J25" s="20"/>
      <c r="K25" s="20"/>
    </row>
    <row r="26" spans="2:11" x14ac:dyDescent="0.25">
      <c r="D26" s="20"/>
      <c r="E26" s="20"/>
      <c r="F26" s="20"/>
      <c r="G26" s="20"/>
      <c r="H26" s="20"/>
      <c r="I26" s="20"/>
      <c r="J26" s="20"/>
    </row>
    <row r="27" spans="2:11" x14ac:dyDescent="0.25">
      <c r="D27" s="20"/>
      <c r="E27" s="20"/>
      <c r="F27" s="20"/>
      <c r="G27" s="20"/>
      <c r="H27" s="20"/>
      <c r="I27" s="20"/>
      <c r="J27" s="20"/>
    </row>
    <row r="28" spans="2:11" x14ac:dyDescent="0.25">
      <c r="D28" s="20"/>
      <c r="E28" s="20"/>
      <c r="F28" s="20"/>
      <c r="G28" s="20"/>
      <c r="H28" s="20"/>
      <c r="I28" s="20"/>
      <c r="J28" s="20"/>
    </row>
    <row r="29" spans="2:11" x14ac:dyDescent="0.25">
      <c r="D29" s="20"/>
      <c r="E29" s="20"/>
      <c r="F29" s="20"/>
      <c r="G29" s="20"/>
      <c r="H29" s="20"/>
      <c r="I29" s="20"/>
      <c r="J29" s="20"/>
    </row>
    <row r="30" spans="2:11" x14ac:dyDescent="0.25">
      <c r="D30" s="20"/>
      <c r="E30" s="20"/>
      <c r="F30" s="20"/>
      <c r="G30" s="20"/>
      <c r="H30" s="20"/>
      <c r="I30" s="20"/>
      <c r="J30" s="20"/>
    </row>
    <row r="31" spans="2:11" x14ac:dyDescent="0.25">
      <c r="D31" s="20"/>
      <c r="E31" s="20"/>
      <c r="F31" s="20"/>
      <c r="G31" s="20"/>
      <c r="H31" s="20"/>
      <c r="I31" s="20"/>
      <c r="J31" s="20"/>
    </row>
    <row r="32" spans="2:11" x14ac:dyDescent="0.25">
      <c r="D32" s="20"/>
      <c r="E32" s="20"/>
      <c r="F32" s="20"/>
      <c r="G32" s="20"/>
      <c r="H32" s="20"/>
      <c r="I32" s="20"/>
      <c r="J32" s="20"/>
    </row>
    <row r="33" spans="4:10" x14ac:dyDescent="0.25">
      <c r="D33" s="20"/>
      <c r="E33" s="20"/>
      <c r="F33" s="20"/>
      <c r="G33" s="20"/>
      <c r="H33" s="20"/>
      <c r="I33" s="20"/>
      <c r="J33" s="20"/>
    </row>
    <row r="34" spans="4:10" x14ac:dyDescent="0.25">
      <c r="D34" s="20"/>
      <c r="E34" s="20"/>
      <c r="F34" s="20"/>
      <c r="G34" s="20"/>
      <c r="H34" s="20"/>
      <c r="I34" s="20"/>
      <c r="J34" s="20"/>
    </row>
  </sheetData>
  <mergeCells count="4">
    <mergeCell ref="B6:H6"/>
    <mergeCell ref="B2:E4"/>
    <mergeCell ref="F2:H4"/>
    <mergeCell ref="B24:C2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J18"/>
  <sheetViews>
    <sheetView workbookViewId="0">
      <selection activeCell="N35" sqref="N35"/>
    </sheetView>
  </sheetViews>
  <sheetFormatPr defaultRowHeight="15" x14ac:dyDescent="0.25"/>
  <sheetData>
    <row r="4" spans="3:10" x14ac:dyDescent="0.25">
      <c r="C4" s="24"/>
      <c r="D4" s="39" t="s">
        <v>53</v>
      </c>
      <c r="E4" s="39"/>
      <c r="F4" s="39"/>
      <c r="G4" s="39"/>
      <c r="H4" s="39"/>
      <c r="I4" s="39"/>
      <c r="J4" s="25"/>
    </row>
    <row r="5" spans="3:10" x14ac:dyDescent="0.25">
      <c r="C5" s="24" t="s">
        <v>54</v>
      </c>
      <c r="D5" s="25" t="s">
        <v>55</v>
      </c>
      <c r="E5" s="25">
        <v>2021</v>
      </c>
      <c r="F5" s="25">
        <v>2022</v>
      </c>
      <c r="G5" s="25">
        <v>2023</v>
      </c>
      <c r="H5" s="25">
        <v>2024</v>
      </c>
      <c r="I5" s="25">
        <v>2025</v>
      </c>
      <c r="J5" s="25" t="s">
        <v>23</v>
      </c>
    </row>
    <row r="6" spans="3:10" x14ac:dyDescent="0.25">
      <c r="C6" s="26" t="s">
        <v>6</v>
      </c>
      <c r="D6" s="27">
        <v>3</v>
      </c>
      <c r="E6" s="27">
        <v>3</v>
      </c>
      <c r="F6" s="27">
        <v>2</v>
      </c>
      <c r="G6" s="27">
        <v>1</v>
      </c>
      <c r="H6" s="27">
        <v>0</v>
      </c>
      <c r="I6" s="27">
        <v>0</v>
      </c>
      <c r="J6" s="27">
        <f>SUM(D6:I6)</f>
        <v>9</v>
      </c>
    </row>
    <row r="7" spans="3:10" x14ac:dyDescent="0.25">
      <c r="C7" s="26" t="s">
        <v>22</v>
      </c>
      <c r="D7" s="27">
        <v>3</v>
      </c>
      <c r="E7" s="27">
        <v>0</v>
      </c>
      <c r="F7" s="27">
        <v>0</v>
      </c>
      <c r="G7" s="27">
        <v>0</v>
      </c>
      <c r="H7" s="27">
        <v>0</v>
      </c>
      <c r="I7" s="27">
        <v>2</v>
      </c>
      <c r="J7" s="27">
        <f t="shared" ref="J7:J17" si="0">SUM(D7:I7)</f>
        <v>5</v>
      </c>
    </row>
    <row r="8" spans="3:10" x14ac:dyDescent="0.25">
      <c r="C8" s="26" t="s">
        <v>56</v>
      </c>
      <c r="D8" s="27">
        <v>2</v>
      </c>
      <c r="E8" s="27">
        <v>0</v>
      </c>
      <c r="F8" s="27">
        <v>1</v>
      </c>
      <c r="G8" s="27">
        <v>1</v>
      </c>
      <c r="H8" s="27">
        <v>0</v>
      </c>
      <c r="I8" s="27">
        <v>0</v>
      </c>
      <c r="J8" s="27">
        <f t="shared" si="0"/>
        <v>4</v>
      </c>
    </row>
    <row r="9" spans="3:10" x14ac:dyDescent="0.25">
      <c r="C9" s="26" t="s">
        <v>57</v>
      </c>
      <c r="D9" s="27">
        <v>13</v>
      </c>
      <c r="E9" s="27">
        <v>1</v>
      </c>
      <c r="F9" s="27">
        <v>8</v>
      </c>
      <c r="G9" s="27">
        <v>5</v>
      </c>
      <c r="H9" s="27">
        <v>1</v>
      </c>
      <c r="I9" s="27">
        <v>4</v>
      </c>
      <c r="J9" s="27">
        <f t="shared" si="0"/>
        <v>32</v>
      </c>
    </row>
    <row r="10" spans="3:10" x14ac:dyDescent="0.25">
      <c r="C10" s="26" t="s">
        <v>26</v>
      </c>
      <c r="D10" s="27">
        <v>17</v>
      </c>
      <c r="E10" s="27">
        <v>7</v>
      </c>
      <c r="F10" s="27">
        <v>6</v>
      </c>
      <c r="G10" s="27">
        <v>15</v>
      </c>
      <c r="H10" s="27">
        <v>6</v>
      </c>
      <c r="I10" s="27">
        <v>2</v>
      </c>
      <c r="J10" s="27">
        <f t="shared" si="0"/>
        <v>53</v>
      </c>
    </row>
    <row r="11" spans="3:10" x14ac:dyDescent="0.25">
      <c r="C11" s="26" t="s">
        <v>58</v>
      </c>
      <c r="D11" s="27">
        <v>7</v>
      </c>
      <c r="E11" s="27">
        <v>1</v>
      </c>
      <c r="F11" s="27">
        <v>1</v>
      </c>
      <c r="G11" s="27">
        <v>4</v>
      </c>
      <c r="H11" s="27">
        <v>3</v>
      </c>
      <c r="I11" s="27">
        <v>2</v>
      </c>
      <c r="J11" s="27">
        <f t="shared" si="0"/>
        <v>18</v>
      </c>
    </row>
    <row r="12" spans="3:10" x14ac:dyDescent="0.25">
      <c r="C12" s="26" t="s">
        <v>59</v>
      </c>
      <c r="D12" s="27">
        <v>5</v>
      </c>
      <c r="E12" s="27">
        <v>1</v>
      </c>
      <c r="F12" s="27">
        <v>3</v>
      </c>
      <c r="G12" s="27">
        <v>2</v>
      </c>
      <c r="H12" s="27">
        <v>0</v>
      </c>
      <c r="I12" s="27">
        <v>1</v>
      </c>
      <c r="J12" s="27">
        <f t="shared" si="0"/>
        <v>12</v>
      </c>
    </row>
    <row r="13" spans="3:10" x14ac:dyDescent="0.25">
      <c r="C13" s="26" t="s">
        <v>60</v>
      </c>
      <c r="D13" s="27">
        <v>7</v>
      </c>
      <c r="E13" s="27">
        <v>3</v>
      </c>
      <c r="F13" s="27">
        <v>2</v>
      </c>
      <c r="G13" s="27">
        <v>2</v>
      </c>
      <c r="H13" s="27">
        <v>3</v>
      </c>
      <c r="I13" s="27">
        <v>6</v>
      </c>
      <c r="J13" s="27">
        <f t="shared" si="0"/>
        <v>23</v>
      </c>
    </row>
    <row r="14" spans="3:10" x14ac:dyDescent="0.25">
      <c r="C14" s="26" t="s">
        <v>61</v>
      </c>
      <c r="D14" s="27">
        <v>9</v>
      </c>
      <c r="E14" s="27">
        <v>2</v>
      </c>
      <c r="F14" s="27">
        <v>6</v>
      </c>
      <c r="G14" s="27">
        <v>2</v>
      </c>
      <c r="H14" s="27">
        <v>2</v>
      </c>
      <c r="I14" s="27">
        <v>0</v>
      </c>
      <c r="J14" s="27">
        <f t="shared" si="0"/>
        <v>21</v>
      </c>
    </row>
    <row r="15" spans="3:10" x14ac:dyDescent="0.25">
      <c r="C15" s="26" t="s">
        <v>62</v>
      </c>
      <c r="D15" s="27">
        <v>3</v>
      </c>
      <c r="E15" s="27">
        <v>2</v>
      </c>
      <c r="F15" s="27">
        <v>1</v>
      </c>
      <c r="G15" s="27">
        <v>0</v>
      </c>
      <c r="H15" s="27">
        <v>2</v>
      </c>
      <c r="I15" s="27">
        <v>1</v>
      </c>
      <c r="J15" s="27">
        <f t="shared" si="0"/>
        <v>9</v>
      </c>
    </row>
    <row r="16" spans="3:10" x14ac:dyDescent="0.25">
      <c r="C16" s="26" t="s">
        <v>63</v>
      </c>
      <c r="D16" s="27">
        <v>0</v>
      </c>
      <c r="E16" s="27">
        <v>11</v>
      </c>
      <c r="F16" s="27">
        <v>0</v>
      </c>
      <c r="G16" s="27">
        <v>0</v>
      </c>
      <c r="H16" s="27">
        <v>0</v>
      </c>
      <c r="I16" s="27">
        <v>3</v>
      </c>
      <c r="J16" s="27">
        <f t="shared" si="0"/>
        <v>14</v>
      </c>
    </row>
    <row r="17" spans="3:10" x14ac:dyDescent="0.25">
      <c r="C17" s="26" t="s">
        <v>64</v>
      </c>
      <c r="D17" s="27">
        <v>0</v>
      </c>
      <c r="E17" s="27">
        <v>0</v>
      </c>
      <c r="F17" s="27">
        <v>0</v>
      </c>
      <c r="G17" s="27">
        <v>0</v>
      </c>
      <c r="H17" s="27">
        <v>2</v>
      </c>
      <c r="I17" s="27">
        <v>4</v>
      </c>
      <c r="J17" s="27">
        <f t="shared" si="0"/>
        <v>6</v>
      </c>
    </row>
    <row r="18" spans="3:10" x14ac:dyDescent="0.25">
      <c r="C18" s="24" t="s">
        <v>23</v>
      </c>
      <c r="D18" s="25">
        <f>SUM(D6:D17)</f>
        <v>69</v>
      </c>
      <c r="E18" s="25">
        <f t="shared" ref="E18:I18" si="1">SUM(E6:E17)</f>
        <v>31</v>
      </c>
      <c r="F18" s="25">
        <f t="shared" si="1"/>
        <v>30</v>
      </c>
      <c r="G18" s="25">
        <f t="shared" si="1"/>
        <v>32</v>
      </c>
      <c r="H18" s="25">
        <f t="shared" si="1"/>
        <v>19</v>
      </c>
      <c r="I18" s="25">
        <f t="shared" si="1"/>
        <v>25</v>
      </c>
      <c r="J18" s="25">
        <f>SUM(J6:J17)</f>
        <v>206</v>
      </c>
    </row>
  </sheetData>
  <mergeCells count="1">
    <mergeCell ref="D4:I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Phổ biến PL</vt:lpstr>
      <vt:lpstr>Tổng số VB đã ban hành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UNETI-I3</cp:lastModifiedBy>
  <cp:lastPrinted>2021-12-07T08:15:42Z</cp:lastPrinted>
  <dcterms:created xsi:type="dcterms:W3CDTF">2021-12-07T07:59:25Z</dcterms:created>
  <dcterms:modified xsi:type="dcterms:W3CDTF">2025-12-12T02:44:59Z</dcterms:modified>
</cp:coreProperties>
</file>