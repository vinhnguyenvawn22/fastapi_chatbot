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Truth" sheetId="1" state="visible" r:id="rId1"/>
    <sheet xmlns:r="http://schemas.openxmlformats.org/officeDocument/2006/relationships" name="ChamDiem_2_Bot" sheetId="2" state="visible" r:id="rId2"/>
    <sheet xmlns:r="http://schemas.openxmlformats.org/officeDocument/2006/relationships" name="TongHop" sheetId="3" state="visible" r:id="rId3"/>
    <sheet xmlns:r="http://schemas.openxmlformats.org/officeDocument/2006/relationships" name="HuongDan_Rubric" sheetId="4" state="visible" r:id="rId4"/>
  </sheets>
  <definedNames>
    <definedName name="_xlnm._FilterDatabase" localSheetId="0" hidden="1">'GroundTruth'!$A$1:$H$81</definedName>
    <definedName name="_xlnm._FilterDatabase" localSheetId="1" hidden="1">'ChamDiem_2_Bot'!$A$1:$AC$81</definedName>
    <definedName name="_xlnm._FilterDatabase" localSheetId="2" hidden="1">'TongHop'!$A$1:$E$10</definedName>
    <definedName name="_xlnm._FilterDatabase" localSheetId="3" hidden="1">'HuongDan_Rubric'!$A$1:$B$17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E2F0D9"/>
      </patternFill>
    </fill>
    <fill>
      <patternFill patternType="solid">
        <fgColor rgb="00FCE4D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42" customWidth="1" min="3" max="3"/>
    <col width="24" customWidth="1" min="4" max="4"/>
    <col width="70" customWidth="1" min="5" max="5"/>
    <col width="60" customWidth="1" min="6" max="6"/>
    <col width="45" customWidth="1" min="7" max="7"/>
    <col width="45" customWidth="1" min="8" max="8"/>
  </cols>
  <sheetData>
    <row r="1">
      <c r="A1" s="1" t="inlineStr">
        <is>
          <t>ID</t>
        </is>
      </c>
      <c r="B1" s="1" t="inlineStr">
        <is>
          <t>Câu hỏi test</t>
        </is>
      </c>
      <c r="C1" s="1" t="inlineStr">
        <is>
          <t>Nguồn đúng mong đợi</t>
        </is>
      </c>
      <c r="D1" s="1" t="inlineStr">
        <is>
          <t>Vị trí căn cứ</t>
        </is>
      </c>
      <c r="E1" s="1" t="inlineStr">
        <is>
          <t>Đáp án chuẩn rút gọn</t>
        </is>
      </c>
      <c r="F1" s="1" t="inlineStr">
        <is>
          <t>Ý bắt buộc phải có</t>
        </is>
      </c>
      <c r="G1" s="1" t="inlineStr">
        <is>
          <t>Keyword bắt buộc</t>
        </is>
      </c>
      <c r="H1" s="1" t="inlineStr">
        <is>
          <t>Keyword cấm</t>
        </is>
      </c>
    </row>
    <row r="2">
      <c r="A2" s="2" t="inlineStr">
        <is>
          <t>PCNTT001</t>
        </is>
      </c>
      <c r="B2" s="2" t="inlineStr">
        <is>
          <t>Mục tiêu và vai trò của module "Tin tức – Thông báo" trên hệ thống support là gì?</t>
        </is>
      </c>
      <c r="C2" s="2" t="inlineStr">
        <is>
          <t>2026.03.03.ChatbotAI_CBGV_SV_V4.docx</t>
        </is>
      </c>
      <c r="D2" s="2" t="inlineStr">
        <is>
          <t>Mục I -&gt; 1</t>
        </is>
      </c>
      <c r="E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F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 Từ khóa trọng tâm: tin tức; thông báo; giới thiệu module; nguồn tin; đồng bộ thông tin</t>
        </is>
      </c>
      <c r="G2" s="2" t="inlineStr">
        <is>
          <t>tin tức, thông báo, giới thiệu module, nguồn tin, đồng bộ thông tin</t>
        </is>
      </c>
      <c r="H2" s="2" t="inlineStr">
        <is>
          <t>trả lời không có căn cứ khi đáp án chuẩn có thông tin; nguồn không liên quan</t>
        </is>
      </c>
    </row>
    <row r="3">
      <c r="A3" s="2" t="inlineStr">
        <is>
          <t>PCNTT002</t>
        </is>
      </c>
      <c r="B3" s="2" t="inlineStr">
        <is>
          <t>Làm thế nào để tôi truy cập vào mục "Tin tức – Thông báo"?</t>
        </is>
      </c>
      <c r="C3" s="2" t="inlineStr">
        <is>
          <t>2026.03.03.ChatbotAI_CBGV_SV_V4.docx</t>
        </is>
      </c>
      <c r="D3" s="2" t="inlineStr">
        <is>
          <t>Mục I -&gt; 2</t>
        </is>
      </c>
      <c r="E3" s="2" t="inlineStr">
        <is>
          <t>Bạn truy cập hệ thống support tại địa chỉ https://support.uneti.edu.vn và đăng nhập tài khoản cá nhân. Sau đó, chọn mục "Tin tức – Thông báo" trên menu hoặc vào link trực tiếp: https://support.uneti.edu.vn/tin-tuc.</t>
        </is>
      </c>
      <c r="F3" s="2" t="inlineStr">
        <is>
          <t>Bạn truy cập hệ thống support tại địa chỉ https://support.uneti.edu.vn và đăng nhập tài khoản cá nhân. Sau đó, chọn mục "Tin tức – Thông báo" trên menu hoặc vào link trực tiếp: https://support.uneti.edu.vn/tin-tuc.; Từ khóa trọng tâm: cách truy cập; link thông báo; đăng nhập xem tin tức; đường dẫn</t>
        </is>
      </c>
      <c r="G3" s="2" t="inlineStr">
        <is>
          <t>cách truy cập, link thông báo, đăng nhập xem tin tức, đường dẫn</t>
        </is>
      </c>
      <c r="H3" s="2" t="inlineStr">
        <is>
          <t>trả lời không có căn cứ khi đáp án chuẩn có thông tin; nguồn không liên quan; trả lời quy chế chung nhưng không nêu thao tác hệ thống</t>
        </is>
      </c>
    </row>
    <row r="4">
      <c r="A4" s="2" t="inlineStr">
        <is>
          <t>PCNTT003</t>
        </is>
      </c>
      <c r="B4" s="2" t="inlineStr">
        <is>
          <t>Chức năng "Tiêu điểm" trong mục Tin tức hiển thị thông tin dựa trên cơ chế nào?</t>
        </is>
      </c>
      <c r="C4" s="2" t="inlineStr">
        <is>
          <t>2026.03.03.ChatbotAI_CBGV_SV_V4.docx</t>
        </is>
      </c>
      <c r="D4" s="2" t="inlineStr">
        <is>
          <t>Mục I -&gt; 3 -&gt; 3.1</t>
        </is>
      </c>
      <c r="E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F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 Từ khóa trọng tâm: tiêu điểm; cá nhân hóa; hiển thị bài viết nổi bật; thuật toán lọc</t>
        </is>
      </c>
      <c r="G4" s="2" t="inlineStr">
        <is>
          <t>tiêu điểm, cá nhân hóa, hiển thị bài viết nổi bật, thuật toán lọc</t>
        </is>
      </c>
      <c r="H4" s="2" t="inlineStr">
        <is>
          <t>trả lời không có căn cứ khi đáp án chuẩn có thông tin; nguồn không liên quan</t>
        </is>
      </c>
    </row>
    <row r="5">
      <c r="A5" s="2" t="inlineStr">
        <is>
          <t>PCNTT004</t>
        </is>
      </c>
      <c r="B5" s="2" t="inlineStr">
        <is>
          <t>Danh mục "Thông báo" của trường bao gồm các loại văn bản nào?</t>
        </is>
      </c>
      <c r="C5" s="2" t="inlineStr">
        <is>
          <t>2026.03.03.ChatbotAI_CBGV_SV_V4.docx</t>
        </is>
      </c>
      <c r="D5" s="2" t="inlineStr">
        <is>
          <t>Mục I -&gt; 3 -&gt; 3.2 -&gt; a</t>
        </is>
      </c>
      <c r="E5" s="2" t="inlineStr">
        <is>
          <t>Danh mục này chứa các văn bản mang tính hành chính, chỉ đạo bao gồm: Lịch học/thi/công tác, quy định mới, hướng dẫn từ các phòng ban (Đào tạo, CTSV), công văn và quyết định.</t>
        </is>
      </c>
      <c r="F5" s="2" t="inlineStr">
        <is>
          <t>Danh mục này chứa các văn bản mang tính hành chính, chỉ đạo bao gồm: Lịch học/thi/công tác, quy định mới, hướng dẫn từ các phòng ban (Đào tạo, CTSV), công văn và quyết định.; Từ khóa trọng tâm: lịch học; lịch thi; công văn; quyết định; quy định mới; văn bản chỉ đạo</t>
        </is>
      </c>
      <c r="G5" s="2" t="inlineStr">
        <is>
          <t>lịch học, lịch thi, công văn, quyết định, quy định mới, văn bản chỉ đạo</t>
        </is>
      </c>
      <c r="H5" s="2" t="inlineStr">
        <is>
          <t>trả lời không có căn cứ khi đáp án chuẩn có thông tin; nguồn không liên quan</t>
        </is>
      </c>
    </row>
    <row r="6">
      <c r="A6" s="2" t="inlineStr">
        <is>
          <t>PCNTT005</t>
        </is>
      </c>
      <c r="B6" s="2" t="inlineStr">
        <is>
          <t>Mục "Sự kiện" trên trang thông báo hiển thị những nội dung gì?</t>
        </is>
      </c>
      <c r="C6" s="2" t="inlineStr">
        <is>
          <t>2026.03.03.ChatbotAI_CBGV_SV_V4.docx</t>
        </is>
      </c>
      <c r="D6" s="2" t="inlineStr">
        <is>
          <t>Mục I -&gt; 3 -&gt; 3.2 -&gt; b</t>
        </is>
      </c>
      <c r="E6" s="2" t="inlineStr">
        <is>
          <t>Mục này tổng hợp các chương trình có thời gian tổ chức cụ thể như: Hội thảo khoa học, sự kiện tuyển sinh, hoạt động đoàn - hội, ngoại khóa, talkshow... Mỗi sự kiện đều ghi rõ thời gian, địa điểm.</t>
        </is>
      </c>
      <c r="F6" s="2" t="inlineStr">
        <is>
          <t>Mục này tổng hợp các chương trình có thời gian tổ chức cụ thể như: Hội thảo khoa học, sự kiện tuyển sinh, hoạt động đoàn - hội, ngoại khóa, talkshow... Mỗi sự kiện đều ghi rõ thời gian, địa điểm.; Từ khóa trọng tâm: hội thảo; tuyển sinh; ngoại khóa; thời gian địa điểm sự kiện; talkshow</t>
        </is>
      </c>
      <c r="G6" s="2" t="inlineStr">
        <is>
          <t>hội thảo, tuyển sinh, ngoại khóa, thời gian địa điểm sự kiện, talkshow</t>
        </is>
      </c>
      <c r="H6" s="2" t="inlineStr">
        <is>
          <t>trả lời không có căn cứ khi đáp án chuẩn có thông tin; nguồn không liên quan</t>
        </is>
      </c>
    </row>
    <row r="7">
      <c r="A7" s="2" t="inlineStr">
        <is>
          <t>PCNTT006</t>
        </is>
      </c>
      <c r="B7" s="2" t="inlineStr">
        <is>
          <t>Tại sao tôi không thấy toàn bộ các bài viết cũ ở trang chủ Tin tức và làm sao để xem lại?</t>
        </is>
      </c>
      <c r="C7" s="2" t="inlineStr">
        <is>
          <t>2026.03.03.ChatbotAI_CBGV_SV_V4.docx</t>
        </is>
      </c>
      <c r="D7" s="2" t="inlineStr">
        <is>
          <t>Mục I -&gt; 3 -&gt; 3.3</t>
        </is>
      </c>
      <c r="E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F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 Từ khóa trọng tâm: xem thêm; bài viết cũ; danh sách đầy đủ; hiển thị bài đăng</t>
        </is>
      </c>
      <c r="G7" s="2" t="inlineStr">
        <is>
          <t>xem thêm, bài viết cũ, danh sách đầy đủ, hiển thị bài đăng</t>
        </is>
      </c>
      <c r="H7" s="2" t="inlineStr">
        <is>
          <t>trả lời không có căn cứ khi đáp án chuẩn có thông tin; nguồn không liên quan; trả lời quy chế chung nhưng không nêu thao tác hệ thống</t>
        </is>
      </c>
    </row>
    <row r="8">
      <c r="A8" s="2" t="inlineStr">
        <is>
          <t>PCNTT007</t>
        </is>
      </c>
      <c r="B8" s="2" t="inlineStr">
        <is>
          <t>Làm thế nào để tìm kiếm bài viết cũ và quay trở lại danh sách mặc định khi cần?</t>
        </is>
      </c>
      <c r="C8" s="2" t="inlineStr">
        <is>
          <t>2026.03.03.ChatbotAI_CBGV_SV_V4.docx</t>
        </is>
      </c>
      <c r="D8" s="2" t="inlineStr">
        <is>
          <t>Mục I -&gt; 3 -&gt; 3.4</t>
        </is>
      </c>
      <c r="E8" s="2" t="inlineStr">
        <is>
          <t>Bạn nhập từ khóa liên quan đến tên bài đăng vào thanh tìm kiếm. Nếu muốn quay về danh sách đầy đủ ban đầu, bạn bấm vào biểu tượng "Bỏ lọc" để xóa từ khóa tìm kiếm.</t>
        </is>
      </c>
      <c r="F8" s="2" t="inlineStr">
        <is>
          <t>Bạn nhập từ khóa liên quan đến tên bài đăng vào thanh tìm kiếm. Nếu muốn quay về danh sách đầy đủ ban đầu, bạn bấm vào biểu tượng "Bỏ lọc" để xóa từ khóa tìm kiếm.; Từ khóa trọng tâm: thanh tìm kiếm; tìm bài viết; bỏ lọc; đặt lại kết quả; từ khóa</t>
        </is>
      </c>
      <c r="G8" s="2" t="inlineStr">
        <is>
          <t>thanh tìm kiếm, tìm bài viết, bỏ lọc, đặt lại kết quả, từ khóa</t>
        </is>
      </c>
      <c r="H8" s="2" t="inlineStr">
        <is>
          <t>trả lời không có căn cứ khi đáp án chuẩn có thông tin; nguồn không liên quan; trả lời quy chế chung nhưng không nêu thao tác hệ thống</t>
        </is>
      </c>
    </row>
    <row r="9">
      <c r="A9" s="2" t="inlineStr">
        <is>
          <t>PCNTT008</t>
        </is>
      </c>
      <c r="B9" s="2" t="inlineStr">
        <is>
          <t>Khi bấm xem chi tiết một bài đăng, tôi có thể tải văn bản đính kèm ở đâu?</t>
        </is>
      </c>
      <c r="C9" s="2" t="inlineStr">
        <is>
          <t>2026.03.03.ChatbotAI_CBGV_SV_V4.docx</t>
        </is>
      </c>
      <c r="D9" s="2" t="inlineStr">
        <is>
          <t>Mục I -&gt; 3 -&gt; 3.5</t>
        </is>
      </c>
      <c r="E9" s="2" t="inlineStr">
        <is>
          <t>Khi nhấp vào bài đăng, hệ thống sẽ điều hướng bạn đến trang thông tin chi tiết. Nếu bài viết có kèm tài liệu hoặc văn bản hướng dẫn, bạn có thể tải trực tiếp file về tại trang chi tiết này.</t>
        </is>
      </c>
      <c r="F9" s="2" t="inlineStr">
        <is>
          <t>Khi nhấp vào bài đăng, hệ thống sẽ điều hướng bạn đến trang thông tin chi tiết. Nếu bài viết có kèm tài liệu hoặc văn bản hướng dẫn, bạn có thể tải trực tiếp file về tại trang chi tiết này.; Từ khóa trọng tâm: tải file đính kèm; văn bản đính kèm; xem chi tiết; file tài liệu</t>
        </is>
      </c>
      <c r="G9" s="2" t="inlineStr">
        <is>
          <t>tải file đính kèm, văn bản đính kèm, xem chi tiết, file tài liệu</t>
        </is>
      </c>
      <c r="H9" s="2" t="inlineStr">
        <is>
          <t>trả lời không có căn cứ khi đáp án chuẩn có thông tin; nguồn không liên quan; trả lời quy chế chung nhưng không nêu thao tác hệ thống</t>
        </is>
      </c>
    </row>
    <row r="10">
      <c r="A10" s="2" t="inlineStr">
        <is>
          <t>PCNTT009</t>
        </is>
      </c>
      <c r="B10" s="2" t="inlineStr">
        <is>
          <t>Cán bộ/Sinh viên có tự đăng bài viết hoặc thông báo lên module này được không?</t>
        </is>
      </c>
      <c r="C10" s="2" t="inlineStr">
        <is>
          <t>2026.03.03.ChatbotAI_CBGV_SV_V4.docx</t>
        </is>
      </c>
      <c r="D10" s="2" t="inlineStr">
        <is>
          <t>Mục I -&gt; 4</t>
        </is>
      </c>
      <c r="E10" s="2" t="inlineStr">
        <is>
          <t>Không. Việc đăng bài mới không thực hiện trong module này. Chỉ có các đơn vị truyền thông hoặc các phòng ban được nhà trường phân quyền mới có thể tạo nội dung gốc.</t>
        </is>
      </c>
      <c r="F10" s="2" t="inlineStr">
        <is>
          <t>Không. Việc đăng bài mới không thực hiện trong module này. Chỉ có các đơn vị truyền thông hoặc các phòng ban được nhà trường phân quyền mới có thể tạo nội dung gốc.; Từ khóa trọng tâm: đăng thông báo; tạo bài viết mới; quyền đăng bài; đơn vị truyền thông</t>
        </is>
      </c>
      <c r="G10" s="2" t="inlineStr">
        <is>
          <t>đăng thông báo, tạo bài viết mới, quyền đăng bài, đơn vị truyền thông</t>
        </is>
      </c>
      <c r="H10" s="2" t="inlineStr">
        <is>
          <t>trả lời không có căn cứ khi đáp án chuẩn có thông tin; nguồn không liên quan</t>
        </is>
      </c>
    </row>
    <row r="11">
      <c r="A11" s="2" t="inlineStr">
        <is>
          <t>PCNTT010</t>
        </is>
      </c>
      <c r="B11" s="2" t="inlineStr">
        <is>
          <t>Module "Hướng dẫn sử dụng phần mềm" cung cấp những tài nguyên gì cho người dùng?</t>
        </is>
      </c>
      <c r="C11" s="2" t="inlineStr">
        <is>
          <t>2026.03.03.ChatbotAI_CBGV_SV_V4.docx</t>
        </is>
      </c>
      <c r="D11" s="2" t="inlineStr">
        <is>
          <t>Mục II -&gt; 1</t>
        </is>
      </c>
      <c r="E11" s="2" t="inlineStr">
        <is>
          <t>Module cung cấp đầy đủ các bộ cài đặt phần mềm nghiệp vụ, tài liệu hướng dẫn chi tiết (dạng PDF/DOC) và các video thuyết minh thao tác mô phỏng quy trình làm việc.</t>
        </is>
      </c>
      <c r="F11" s="2" t="inlineStr">
        <is>
          <t>Module cung cấp đầy đủ các bộ cài đặt phần mềm nghiệp vụ, tài liệu hướng dẫn chi tiết (dạng PDF/DOC) và các video thuyết minh thao tác mô phỏng quy trình làm việc.; Từ khóa trọng tâm: tài nguyên kỹ thuật; bộ cài đặt; tài liệu pdf; video thao tác</t>
        </is>
      </c>
      <c r="G11" s="2" t="inlineStr">
        <is>
          <t>tài nguyên kỹ thuật, bộ cài đặt, tài liệu pdf, video thao tác</t>
        </is>
      </c>
      <c r="H11" s="2" t="inlineStr">
        <is>
          <t>trả lời không có căn cứ khi đáp án chuẩn có thông tin; nguồn không liên quan</t>
        </is>
      </c>
    </row>
    <row r="12">
      <c r="A12" s="2" t="inlineStr">
        <is>
          <t>PCNTT011</t>
        </is>
      </c>
      <c r="B12" s="2" t="inlineStr">
        <is>
          <t>Giảng viên và cán bộ có thể tải bộ cài đặt các phân hệ nghiệp vụ nào trên hệ thống?</t>
        </is>
      </c>
      <c r="C12" s="2" t="inlineStr">
        <is>
          <t>2026.03.03.ChatbotAI_CBGV_SV_V4.docx</t>
        </is>
      </c>
      <c r="D12" s="2" t="inlineStr">
        <is>
          <t>Mục II -&gt; 3</t>
        </is>
      </c>
      <c r="E12" s="2" t="inlineStr">
        <is>
          <t>Cán bộ, giảng viên có thể tải các bộ cài đặt gồm: Phân hệ Quản lý đào tạo (EDU) và công cụ soạn câu hỏi trắc nghiệm Offline, phân hệ Quản lý nhân sự (HRM) và phần mềm Uneti Online.</t>
        </is>
      </c>
      <c r="F12" s="2" t="inlineStr">
        <is>
          <t>Cán bộ, giảng viên có thể tải các bộ cài đặt gồm: Phân hệ Quản lý đào tạo (EDU) và công cụ soạn câu hỏi trắc nghiệm Offline, phân hệ Quản lý nhân sự (HRM) và phần mềm Uneti Online.; Từ khóa trọng tâm: cài đặt EDU; trắc nghiệm offline; bộ cài HRM; phần mềm uneti online</t>
        </is>
      </c>
      <c r="G12" s="2" t="inlineStr">
        <is>
          <t>cài đặt EDU, trắc nghiệm offline, bộ cài HRM, phần mềm uneti online</t>
        </is>
      </c>
      <c r="H12" s="2" t="inlineStr">
        <is>
          <t>trả lời không có căn cứ khi đáp án chuẩn có thông tin; nguồn không liên quan</t>
        </is>
      </c>
    </row>
    <row r="13">
      <c r="A13" s="2" t="inlineStr">
        <is>
          <t>PCNTT012</t>
        </is>
      </c>
      <c r="B13" s="2" t="inlineStr">
        <is>
          <t>Tôi có thể tìm thấy những tài liệu hướng dẫn nào liên quan đến thiết bị giảng đường?</t>
        </is>
      </c>
      <c r="C13" s="2" t="inlineStr">
        <is>
          <t>2026.03.03.ChatbotAI_CBGV_SV_V4.docx</t>
        </is>
      </c>
      <c r="D13" s="2" t="inlineStr">
        <is>
          <t>Mục II -&gt; 4 -&gt; 4.1</t>
        </is>
      </c>
      <c r="E13" s="2" t="inlineStr">
        <is>
          <t>Nhóm này gồm tài liệu hướng dẫn sử dụng ổ cắm âm bàn ; kết nối Tivi - Laptop ; phần mềm chuyển đổi USB sang HDMI (cho Windows/macOS) và hướng dẫn kết nối Tivi với Box trình chiếu.</t>
        </is>
      </c>
      <c r="F13" s="2" t="inlineStr">
        <is>
          <t>Nhóm này gồm tài liệu hướng dẫn sử dụng ổ cắm âm bàn ; kết nối Tivi - Laptop ; phần mềm chuyển đổi USB sang HDMI (cho Windows/macOS) và hướng dẫn kết nối Tivi với Box trình chiếu.; Từ khóa trọng tâm: thiết bị phòng học; ổ cắm âm bàn; kết nối laptop với tivi; usb sang hdmi</t>
        </is>
      </c>
      <c r="G13" s="2" t="inlineStr">
        <is>
          <t>thiết bị phòng học, ổ cắm âm bàn, kết nối laptop với tivi, usb sang hdmi</t>
        </is>
      </c>
      <c r="H13" s="2" t="inlineStr">
        <is>
          <t>trả lời không có căn cứ khi đáp án chuẩn có thông tin; nguồn không liên quan</t>
        </is>
      </c>
    </row>
    <row r="14">
      <c r="A14" s="2" t="inlineStr">
        <is>
          <t>PCNTT013</t>
        </is>
      </c>
      <c r="B14" s="2" t="inlineStr">
        <is>
          <t>Tài liệu hướng dẫn sử dụng phân hệ Quản lý đào tạo (EDU) được phân loại như thế nào?</t>
        </is>
      </c>
      <c r="C14" s="2" t="inlineStr">
        <is>
          <t>2026.03.03.ChatbotAI_CBGV_SV_V4.docx</t>
        </is>
      </c>
      <c r="D14" s="2" t="inlineStr">
        <is>
          <t>Mục II -&gt; 4 -&gt; 4.2</t>
        </is>
      </c>
      <c r="E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F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 Từ khóa trọng tâm: tài liệu EDU; phân quyền tài khoản; nhập điểm; cố vấn học tập; admin khoa</t>
        </is>
      </c>
      <c r="G14" s="2" t="inlineStr">
        <is>
          <t>tài liệu EDU, phân quyền tài khoản, nhập điểm, cố vấn học tập, admin khoa</t>
        </is>
      </c>
      <c r="H14" s="2" t="inlineStr">
        <is>
          <t>trả lời không có căn cứ khi đáp án chuẩn có thông tin; nguồn không liên quan</t>
        </is>
      </c>
    </row>
    <row r="15">
      <c r="A15" s="2" t="inlineStr">
        <is>
          <t>PCNTT014</t>
        </is>
      </c>
      <c r="B15" s="2" t="inlineStr">
        <is>
          <t>Sinh viên muốn tìm tài liệu hướng dẫn học tập trực tuyến LMS thì xem ở đâu?</t>
        </is>
      </c>
      <c r="C15" s="2" t="inlineStr">
        <is>
          <t>2026.03.03.ChatbotAI_CBGV_SV_V4.docx</t>
        </is>
      </c>
      <c r="D15" s="2" t="inlineStr">
        <is>
          <t>Mục II -&gt; 4 -&gt; 4.3</t>
        </is>
      </c>
      <c r="E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F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 Từ khóa trọng tâm: cài đặt LMS; hướng dẫn sinh viên; học trực tuyến; link lms</t>
        </is>
      </c>
      <c r="G15" s="2" t="inlineStr">
        <is>
          <t>cài đặt LMS, hướng dẫn sinh viên, học trực tuyến, link lms</t>
        </is>
      </c>
      <c r="H15" s="2" t="inlineStr">
        <is>
          <t>trả lời không có căn cứ khi đáp án chuẩn có thông tin; nguồn không liên quan; trả lời quy chế chung nhưng không nêu thao tác hệ thống</t>
        </is>
      </c>
    </row>
    <row r="16">
      <c r="A16" s="2" t="inlineStr">
        <is>
          <t>PCNTT015</t>
        </is>
      </c>
      <c r="B16" s="2" t="inlineStr">
        <is>
          <t>Hệ thống có các video hướng dẫn sử dụng Thủ tục hành chính một cửa cho sinh viên không?</t>
        </is>
      </c>
      <c r="C16" s="2" t="inlineStr">
        <is>
          <t>2026.03.03.ChatbotAI_CBGV_SV_V4.docx</t>
        </is>
      </c>
      <c r="D16" s="2" t="inlineStr">
        <is>
          <t>Mục II -&gt; 5 -&gt; 5.1 -&gt; a</t>
        </is>
      </c>
      <c r="E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F16" s="2" t="inlineStr">
        <is>
          <t>Có. Hệ thống cung cấp chuỗi video hướng dẫn cài đặt app, đăng nhập và thao tác nộp hồ sơ Một cửa thuộc các mảng: Khảo thí, Đào tạo, CT&amp;CTSV, Hành chính. Link: https://supportscom.uneti.edu.vn/huong-dan-su-dung-thu-tuc-ha; Từ khóa trọng tâm: video một cửa; thủ tục hành chính sinh viên; app điện thoại; nộp hồ sơ</t>
        </is>
      </c>
      <c r="G16" s="2" t="inlineStr">
        <is>
          <t>video một cửa, thủ tục hành chính sinh viên, app điện thoại, nộp hồ sơ</t>
        </is>
      </c>
      <c r="H16" s="2" t="inlineStr">
        <is>
          <t>trả lời không có căn cứ khi đáp án chuẩn có thông tin; nguồn không liên quan; trả lời quy chế chung nhưng không nêu thao tác hệ thống</t>
        </is>
      </c>
    </row>
    <row r="17">
      <c r="A17" s="2" t="inlineStr">
        <is>
          <t>PCNTT016</t>
        </is>
      </c>
      <c r="B17" s="2" t="inlineStr">
        <is>
          <t>Giảng viên có thể xem video hướng dẫn về những nghiệp vụ chuyên môn nào?</t>
        </is>
      </c>
      <c r="C17" s="2" t="inlineStr">
        <is>
          <t>2026.03.03.ChatbotAI_CBGV_SV_V4.docx</t>
        </is>
      </c>
      <c r="D17" s="2" t="inlineStr">
        <is>
          <t>Mục II -&gt; 5 -&gt; 5.2</t>
        </is>
      </c>
      <c r="E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F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 Từ khóa trọng tâm: video giảng viên; công tác giảng viên; khối lượng coi thi; nhập khối lượng bù</t>
        </is>
      </c>
      <c r="G17" s="2" t="inlineStr">
        <is>
          <t>video giảng viên, công tác giảng viên, khối lượng coi thi, nhập khối lượng bù</t>
        </is>
      </c>
      <c r="H17" s="2" t="inlineStr">
        <is>
          <t>trả lời không có căn cứ khi đáp án chuẩn có thông tin; nguồn không liên quan; trả lời quy chế chung nhưng không nêu thao tác hệ thống</t>
        </is>
      </c>
    </row>
    <row r="18">
      <c r="A18" s="2" t="inlineStr">
        <is>
          <t>PCNTT017</t>
        </is>
      </c>
      <c r="B18" s="2" t="inlineStr">
        <is>
          <t>Tôi gặp sự cố về Email nhà trường (quên mật khẩu, lỗi bảo mật 2 lớp) thì xử lý thế nào?</t>
        </is>
      </c>
      <c r="C18" s="2" t="inlineStr">
        <is>
          <t>2026.03.03.ChatbotAI_CBGV_SV_V4.docx</t>
        </is>
      </c>
      <c r="D18" s="2" t="inlineStr">
        <is>
          <t>Mục II -&gt; 5 -&gt; 5.3 -&gt; a</t>
        </is>
      </c>
      <c r="E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F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 Từ khóa trọng tâm: quên mật khẩu email uneti; bảo mật 2 lớp; lỗi gmail trường; sao lưu email</t>
        </is>
      </c>
      <c r="G18" s="2" t="inlineStr">
        <is>
          <t>quên mật khẩu email uneti, bảo mật 2 lớp, lỗi gmail trường, sao lưu email</t>
        </is>
      </c>
      <c r="H18" s="2" t="inlineStr">
        <is>
          <t>trả lời không có căn cứ khi đáp án chuẩn có thông tin; nguồn không liên quan</t>
        </is>
      </c>
    </row>
    <row r="19">
      <c r="A19" s="2" t="inlineStr">
        <is>
          <t>PCNTT018</t>
        </is>
      </c>
      <c r="B19" s="2" t="inlineStr">
        <is>
          <t>Khi thiết bị máy tính, mạng hoặc phần mềm của phòng ban bị hỏng, tôi liên hệ ai để xử lý khẩn cấp?</t>
        </is>
      </c>
      <c r="C19" s="2" t="inlineStr">
        <is>
          <t>2026.03.03.ChatbotAI_CBGV_SV_V4.docx</t>
        </is>
      </c>
      <c r="D19" s="2" t="inlineStr">
        <is>
          <t>Mục III -&gt; 3</t>
        </is>
      </c>
      <c r="E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F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 Từ khóa trọng tâm: số điện thoại kỹ thuật; thầy công; thầy tuấn; thầy thành; sửa mạng khẩn cấp</t>
        </is>
      </c>
      <c r="G19" s="2" t="inlineStr">
        <is>
          <t>số điện thoại kỹ thuật, thầy công, thầy tuấn, thầy thành, sửa mạng khẩn cấp</t>
        </is>
      </c>
      <c r="H19" s="2" t="inlineStr">
        <is>
          <t>trả lời không có căn cứ khi đáp án chuẩn có thông tin; nguồn không liên quan</t>
        </is>
      </c>
    </row>
    <row r="20">
      <c r="A20" s="2" t="inlineStr">
        <is>
          <t>PCNTT019</t>
        </is>
      </c>
      <c r="B20" s="2" t="inlineStr">
        <is>
          <t>Quy trình thực hiện báo hỏng thiết bị phần cứng hoặc phần mềm trên trang Support như thế nào?</t>
        </is>
      </c>
      <c r="C20" s="2" t="inlineStr">
        <is>
          <t>2026.03.03.ChatbotAI_CBGV_SV_V4.docx</t>
        </is>
      </c>
      <c r="D20" s="2" t="inlineStr">
        <is>
          <t>Mục III -&gt; 4 -&gt; 4.2</t>
        </is>
      </c>
      <c r="E20" s="2" t="inlineStr">
        <is>
          <t>Bạn vào mục "Báo hỏng", chọn hình thức (theo hiện tượng hoặc cụ thể mã tài sản). Tiếp theo chọn vị trí, lĩnh vực sự cố, nhập mô tả chi tiết, đính kèm hình ảnh và nhấn "Gửi yêu cầu".</t>
        </is>
      </c>
      <c r="F20" s="2" t="inlineStr">
        <is>
          <t>Bạn vào mục "Báo hỏng", chọn hình thức (theo hiện tượng hoặc cụ thể mã tài sản). Tiếp theo chọn vị trí, lĩnh vực sự cố, nhập mô tả chi tiết, đính kèm hình ảnh và nhấn "Gửi yêu cầu".; Từ khóa trọng tâm: các bước báo hỏng; lỗi phần mềm; hỏng camera; gửi yêu cầu sửa chữa</t>
        </is>
      </c>
      <c r="G20" s="2" t="inlineStr">
        <is>
          <t>các bước báo hỏng, lỗi phần mềm, hỏng camera, gửi yêu cầu sửa chữa</t>
        </is>
      </c>
      <c r="H20" s="2" t="inlineStr">
        <is>
          <t>trả lời không có căn cứ khi đáp án chuẩn có thông tin; nguồn không liên quan</t>
        </is>
      </c>
    </row>
    <row r="21">
      <c r="A21" s="2" t="inlineStr">
        <is>
          <t>PCNTT020</t>
        </is>
      </c>
      <c r="B21" s="2" t="inlineStr">
        <is>
          <t>Tại sao tôi bị chặn không sử dụng được các chức năng khác trên Web Support sau khi đăng nhập?</t>
        </is>
      </c>
      <c r="C21" s="2" t="inlineStr">
        <is>
          <t>2026.03.03.ChatbotAI_CBGV_SV_V4.docx</t>
        </is>
      </c>
      <c r="D21" s="2" t="inlineStr">
        <is>
          <t>Mục IV -&gt; 2</t>
        </is>
      </c>
      <c r="E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F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 Từ khóa trọng tâm: bị chặn màn hình; lỗi đăng nhập không dùng được web; khảo sát bắt buộc</t>
        </is>
      </c>
      <c r="G21" s="2" t="inlineStr">
        <is>
          <t>bị chặn màn hình, lỗi đăng nhập không dùng được web, khảo sát bắt buộc</t>
        </is>
      </c>
      <c r="H21" s="2" t="inlineStr">
        <is>
          <t>trả lời không có căn cứ khi đáp án chuẩn có thông tin; nguồn không liên quan</t>
        </is>
      </c>
    </row>
    <row r="22">
      <c r="A22" s="2" t="inlineStr">
        <is>
          <t>PCNTT021</t>
        </is>
      </c>
      <c r="B22" s="2" t="inlineStr">
        <is>
          <t>Chức năng "Kết quả học tập" trên Web Support giúp sinh viên tra cứu được những gì?</t>
        </is>
      </c>
      <c r="C22" s="2" t="inlineStr">
        <is>
          <t>2026.03.25.AI_HDSD TREN WEB SUPPORT SV.docx</t>
        </is>
      </c>
      <c r="D22" s="2" t="inlineStr">
        <is>
          <t>Mục I -&gt; 1 -&gt; 1.1</t>
        </is>
      </c>
      <c r="E22" s="2" t="inlineStr">
        <is>
          <t>Giúp sinh viên tra cứu toàn bộ điểm số theo từng học kỳ, hiển thị thông tin tổng hợp của từng học phần và xem chi tiết các thành phần điểm để dễ dàng đối chiếu.</t>
        </is>
      </c>
      <c r="F22" s="2" t="inlineStr">
        <is>
          <t>Giúp sinh viên tra cứu toàn bộ điểm số theo từng học kỳ, hiển thị thông tin tổng hợp của từng học phần và xem chi tiết các thành phần điểm để dễ dàng đối chiếu.; Từ khóa trọng tâm: tra cứu điểm; xem điểm học kỳ; điểm thành phần; đối chiếu điểm số</t>
        </is>
      </c>
      <c r="G22" s="2" t="inlineStr">
        <is>
          <t>tra cứu điểm, xem điểm học kỳ, điểm thành phần, đối chiếu điểm số</t>
        </is>
      </c>
      <c r="H22" s="2" t="inlineStr">
        <is>
          <t>trả lời không có căn cứ khi đáp án chuẩn có thông tin; nguồn không liên quan; cán bộ giảng viên nếu câu hỏi chỉ dành cho sinh viên; nguồn CBGV sai đối tượng</t>
        </is>
      </c>
    </row>
    <row r="23">
      <c r="A23" s="2" t="inlineStr">
        <is>
          <t>PCNTT022</t>
        </is>
      </c>
      <c r="B23" s="2" t="inlineStr">
        <is>
          <t>Làm thế nào để sinh viên xem được kết quả học tập theo từng học kỳ?</t>
        </is>
      </c>
      <c r="C23" s="2" t="inlineStr">
        <is>
          <t>2026.03.25.AI_HDSD TREN WEB SUPPORT SV.docx</t>
        </is>
      </c>
      <c r="D23" s="2" t="inlineStr">
        <is>
          <t>Mục I -&gt; 1 -&gt; 1.2</t>
        </is>
      </c>
      <c r="E23" s="2" t="inlineStr">
        <is>
          <t>Bước 1: Đăng nhập https://support.uneti.edu.vn. Bước 2: Chọn Module “Học tập” &gt; “Kết quả học tập”. Bước 3: Chọn học kỳ cần xem để hiển thị danh sách các môn học.</t>
        </is>
      </c>
      <c r="F23" s="2" t="inlineStr">
        <is>
          <t>Bước 1: Đăng nhập https://support.uneti.edu.vn. Bước 2: Chọn Module “Học tập” &gt; “Kết quả học tập”. Bước 3: Chọn học kỳ cần xem để hiển thị danh sách các môn học.; Từ khóa trọng tâm: cách xem điểm; link kết quả học tập; chọn học kỳ xem điểm</t>
        </is>
      </c>
      <c r="G23" s="2" t="inlineStr">
        <is>
          <t>cách xem điểm, link kết quả học tập, chọn học kỳ xem điểm</t>
        </is>
      </c>
      <c r="H23"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24">
      <c r="A24" s="2" t="inlineStr">
        <is>
          <t>PCNTT023</t>
        </is>
      </c>
      <c r="B24" s="2" t="inlineStr">
        <is>
          <t>Tôi muốn xem chi tiết các đầu điểm thành phần (điểm chuyên cần, kiểm tra) của một môn học thì làm thế nào?</t>
        </is>
      </c>
      <c r="C24" s="2" t="inlineStr">
        <is>
          <t>2026.03.25.AI_HDSD TREN WEB SUPPORT SV.docx</t>
        </is>
      </c>
      <c r="D24" s="2" t="inlineStr">
        <is>
          <t>Mục I -&gt; 1 -&gt; 1.2</t>
        </is>
      </c>
      <c r="E24" s="2" t="inlineStr">
        <is>
          <t>Tại màn hình Kết quả học tập, bạn tìm môn học cần kiểm tra và nhấn nút "Xem chi tiết" ở cột thao tác. Hệ thống sẽ hiển thị cụ thể tất cả các điểm thành phần của môn học đó.</t>
        </is>
      </c>
      <c r="F24" s="2" t="inlineStr">
        <is>
          <t>Tại màn hình Kết quả học tập, bạn tìm môn học cần kiểm tra và nhấn nút "Xem chi tiết" ở cột thao tác. Hệ thống sẽ hiển thị cụ thể tất cả các điểm thành phần của môn học đó.; Từ khóa trọng tâm: điểm chuyên cần; điểm kiểm tra; điểm thành phần môn học; xem chi tiết</t>
        </is>
      </c>
      <c r="G24" s="2" t="inlineStr">
        <is>
          <t>điểm chuyên cần, điểm kiểm tra, điểm thành phần môn học, xem chi tiết</t>
        </is>
      </c>
      <c r="H24"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25">
      <c r="A25" s="2" t="inlineStr">
        <is>
          <t>PCNTT024</t>
        </is>
      </c>
      <c r="B25" s="2" t="inlineStr">
        <is>
          <t>Làm cách nào để sinh viên kiểm tra Lịch học và Lịch thi của mình?</t>
        </is>
      </c>
      <c r="C25" s="2" t="inlineStr">
        <is>
          <t>2026.03.25.AI_HDSD TREN WEB SUPPORT SV.docx</t>
        </is>
      </c>
      <c r="D25" s="2" t="inlineStr">
        <is>
          <t>Mục I -&gt; 2 -&gt; 2.1</t>
        </is>
      </c>
      <c r="E25" s="2" t="inlineStr">
        <is>
          <t>Bước 1: Đăng nhập hệ thống cá nhân. Bước 2: Chọn Module “Học tập” &gt; “Lịch học – Lịch thi” hoặc truy cập đường dẫn trực tiếp: https://support.uneti.edu.vn/hoc-tap/lich-hoc-lich-thi.</t>
        </is>
      </c>
      <c r="F25" s="2" t="inlineStr">
        <is>
          <t>Bước 1: Đăng nhập hệ thống cá nhân. Bước 2: Chọn Module “Học tập” &gt; “Lịch học – Lịch thi” hoặc truy cập đường dẫn trực tiếp: https://support.uneti.edu.vn/hoc-tap/lich-hoc-lich-thi.; Từ khóa trọng tâm: xem lịch học; lịch thi; thời khóa biểu; link lịch học lịch thi</t>
        </is>
      </c>
      <c r="G25" s="2" t="inlineStr">
        <is>
          <t>xem lịch học, lịch thi, thời khóa biểu, link lịch học lịch thi</t>
        </is>
      </c>
      <c r="H25"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26">
      <c r="A26" s="2" t="inlineStr">
        <is>
          <t>PCNTT025</t>
        </is>
      </c>
      <c r="B26" s="2" t="inlineStr">
        <is>
          <t>Trên màn hình Lịch học - Lịch thi, sinh viên có thể xem thông tin theo những hình thức nào?</t>
        </is>
      </c>
      <c r="C26" s="2" t="inlineStr">
        <is>
          <t>2026.03.25.AI_HDSD TREN WEB SUPPORT SV.docx</t>
        </is>
      </c>
      <c r="D26" s="2" t="inlineStr">
        <is>
          <t>Mục I -&gt; 2 -&gt; 2.2</t>
        </is>
      </c>
      <c r="E26" s="2" t="inlineStr">
        <is>
          <t>Sinh viên có thể linh hoạt chọn xem lịch hiển thị theo 2 hình thức giao diện: hiển thị theo dạng "Danh sách" (liệt kê tuyến tính) hoặc dạng "Lịch tuần" (trực quan theo thứ ngày).</t>
        </is>
      </c>
      <c r="F26" s="2" t="inlineStr">
        <is>
          <t>Sinh viên có thể linh hoạt chọn xem lịch hiển thị theo 2 hình thức giao diện: hiển thị theo dạng "Danh sách" (liệt kê tuyến tính) hoặc dạng "Lịch tuần" (trực quan theo thứ ngày).; Từ khóa trọng tâm: lịch tuần; dạng danh sách; giao diện lịch học; thời khóa biểu tuần</t>
        </is>
      </c>
      <c r="G26" s="2" t="inlineStr">
        <is>
          <t>lịch tuần, dạng danh sách, giao diện lịch học, thời khóa biểu tuần</t>
        </is>
      </c>
      <c r="H26"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27">
      <c r="A27" s="2" t="inlineStr">
        <is>
          <t>PCNTT026</t>
        </is>
      </c>
      <c r="B27" s="2" t="inlineStr">
        <is>
          <t>Làm thế nào để xem lịch học/lịch thi của một tuần bất kỳ trong năm học?</t>
        </is>
      </c>
      <c r="C27" s="2" t="inlineStr">
        <is>
          <t>2026.03.25.AI_HDSD TREN WEB SUPPORT SV.docx</t>
        </is>
      </c>
      <c r="D27" s="2" t="inlineStr">
        <is>
          <t>Mục I -&gt; 2 -&gt; 2.2</t>
        </is>
      </c>
      <c r="E27" s="2" t="inlineStr">
        <is>
          <t>Bạn sử dụng bộ lọc "Tuần học" ở phía trên màn hình, nhấn chọn khoảng thời gian tuần cần tra cứu. Hệ thống sẽ tự động cập nhật thời khóa biểu và lịch thi của tuần đó.</t>
        </is>
      </c>
      <c r="F27" s="2" t="inlineStr">
        <is>
          <t>Bạn sử dụng bộ lọc "Tuần học" ở phía trên màn hình, nhấn chọn khoảng thời gian tuần cần tra cứu. Hệ thống sẽ tự động cập nhật thời khóa biểu và lịch thi của tuần đó.; Từ khóa trọng tâm: đổi tuần học; chọn tuần thi; xem lịch tuần tới; bộ lọc tuần</t>
        </is>
      </c>
      <c r="G27" s="2" t="inlineStr">
        <is>
          <t>đổi tuần học, chọn tuần thi, xem lịch tuần tới, bộ lọc tuần</t>
        </is>
      </c>
      <c r="H27"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28">
      <c r="A28" s="2" t="inlineStr">
        <is>
          <t>PCNTT027</t>
        </is>
      </c>
      <c r="B28" s="2" t="inlineStr">
        <is>
          <t>Sinh viên có thể lọc xem riêng "Lịch học" hoặc riêng "Lịch thi" được không?</t>
        </is>
      </c>
      <c r="C28" s="2" t="inlineStr">
        <is>
          <t>2026.03.25.AI_HDSD TREN WEB SUPPORT SV.docx</t>
        </is>
      </c>
      <c r="D28" s="2" t="inlineStr">
        <is>
          <t>Mục I -&gt; 2 -&gt; 2.2</t>
        </is>
      </c>
      <c r="E28" s="2" t="inlineStr">
        <is>
          <t>Có. Hệ thống cung cấp bộ lọc "Loại lịch". Bạn có thể tích chọn xem "Tất cả", hoặc lọc riêng "Lịch học" để đi học, hoặc chọn "Lịch thi" để theo dõi lịch thi cử của mình.</t>
        </is>
      </c>
      <c r="F28" s="2" t="inlineStr">
        <is>
          <t>Có. Hệ thống cung cấp bộ lọc "Loại lịch". Bạn có thể tích chọn xem "Tất cả", hoặc lọc riêng "Lịch học" để đi học, hoặc chọn "Lịch thi" để theo dõi lịch thi cử của mình.; Từ khóa trọng tâm: lọc lịch thi; lọc lịch học; loại lịch; tìm lịch thi</t>
        </is>
      </c>
      <c r="G28" s="2" t="inlineStr">
        <is>
          <t>lọc lịch thi, lọc lịch học, loại lịch, tìm lịch thi</t>
        </is>
      </c>
      <c r="H28"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29">
      <c r="A29" s="2" t="inlineStr">
        <is>
          <t>PCNTT028</t>
        </is>
      </c>
      <c r="B29" s="2" t="inlineStr">
        <is>
          <t>Chức năng "Khảo sát" trên hệ thống UNETI Online nhằm mục đích gì?</t>
        </is>
      </c>
      <c r="C29" s="2" t="inlineStr">
        <is>
          <t>2026.03.25.AI_HDSD TREN WEB SUPPORT SV.docx</t>
        </is>
      </c>
      <c r="D29" s="2" t="inlineStr">
        <is>
          <t>Mục II -&gt; 1</t>
        </is>
      </c>
      <c r="E29" s="2" t="inlineStr">
        <is>
          <t>Chức năng này là kênh để sinh viên đóng góp ý kiến, phản hồi về chất lượng giảng dạy, dịch vụ hỗ trợ và các hoạt động chung của Nhà trường, giúp cải tiến chất lượng quản lý.</t>
        </is>
      </c>
      <c r="F29" s="2" t="inlineStr">
        <is>
          <t>Chức năng này là kênh để sinh viên đóng góp ý kiến, phản hồi về chất lượng giảng dạy, dịch vụ hỗ trợ và các hoạt động chung của Nhà trường, giúp cải tiến chất lượng quản lý.; Từ khóa trọng tâm: khảo sát sinh viên; lấy ý kiến sinh viên; phản hồi chất lượng</t>
        </is>
      </c>
      <c r="G29" s="2" t="inlineStr">
        <is>
          <t>khảo sát sinh viên, lấy ý kiến sinh viên, phản hồi chất lượng</t>
        </is>
      </c>
      <c r="H29" s="2" t="inlineStr">
        <is>
          <t>trả lời không có căn cứ khi đáp án chuẩn có thông tin; nguồn không liên quan; cán bộ giảng viên nếu câu hỏi chỉ dành cho sinh viên; nguồn CBGV sai đối tượng</t>
        </is>
      </c>
    </row>
    <row r="30">
      <c r="A30" s="2" t="inlineStr">
        <is>
          <t>PCNTT029</t>
        </is>
      </c>
      <c r="B30" s="2" t="inlineStr">
        <is>
          <t>Có mấy loại phiếu khảo sát trên hệ thống và sự khác biệt là gì?</t>
        </is>
      </c>
      <c r="C30" s="2" t="inlineStr">
        <is>
          <t>2026.03.25.AI_HDSD TREN WEB SUPPORT SV.docx</t>
        </is>
      </c>
      <c r="D30" s="2" t="inlineStr">
        <is>
          <t>Mục II -&gt; 1</t>
        </is>
      </c>
      <c r="E30" s="2" t="inlineStr">
        <is>
          <t>Có 2 loại: Khảo sát Nội bộ (yêu cầu đăng nhập tài khoản sinh viên, hiển thị theo đợt) và Khảo sát Bên ngoài (không cần đăng nhập, truy cập qua link/mã QR công khai).</t>
        </is>
      </c>
      <c r="F30" s="2" t="inlineStr">
        <is>
          <t>Có 2 loại: Khảo sát Nội bộ (yêu cầu đăng nhập tài khoản sinh viên, hiển thị theo đợt) và Khảo sát Bên ngoài (không cần đăng nhập, truy cập qua link/mã QR công khai).; Từ khóa trọng tâm: loại khảo sát; khảo sát nội bộ; khảo sát bên ngoài; mã qr</t>
        </is>
      </c>
      <c r="G30" s="2" t="inlineStr">
        <is>
          <t>loại khảo sát, khảo sát nội bộ, khảo sát bên ngoài, mã qr</t>
        </is>
      </c>
      <c r="H30" s="2" t="inlineStr">
        <is>
          <t>trả lời không có căn cứ khi đáp án chuẩn có thông tin; nguồn không liên quan; cán bộ giảng viên nếu câu hỏi chỉ dành cho sinh viên; nguồn CBGV sai đối tượng</t>
        </is>
      </c>
    </row>
    <row r="31">
      <c r="A31" s="2" t="inlineStr">
        <is>
          <t>PCNTT030</t>
        </is>
      </c>
      <c r="B31" s="2" t="inlineStr">
        <is>
          <t>Quy trình tham gia một phiếu Khảo sát Nội bộ như thế nào?</t>
        </is>
      </c>
      <c r="C31" s="2" t="inlineStr">
        <is>
          <t>2026.03.25.AI_HDSD TREN WEB SUPPORT SV.docx</t>
        </is>
      </c>
      <c r="D31" s="2" t="inlineStr">
        <is>
          <t>Mục II -&gt; 2</t>
        </is>
      </c>
      <c r="E31" s="2" t="inlineStr">
        <is>
          <t>Bước 1: Đăng nhập https://support.uneti.edu.vn. Bước 2: Vào mục “Khảo sát” &gt; chọn phiếu khảo sát hiển thị trên màn hình. Bước 3: Trả lời đầy đủ các câu hỏi và nhấn “Nộp khảo sát”.</t>
        </is>
      </c>
      <c r="F31" s="2" t="inlineStr">
        <is>
          <t>Bước 1: Đăng nhập https://support.uneti.edu.vn. Bước 2: Vào mục “Khảo sát” &gt; chọn phiếu khảo sát hiển thị trên màn hình. Bước 3: Trả lời đầy đủ các câu hỏi và nhấn “Nộp khảo sát”.; Từ khóa trọng tâm: các bước khảo sát; cách làm khảo sát; nộp phiếu khảo sát nội bộ</t>
        </is>
      </c>
      <c r="G31" s="2" t="inlineStr">
        <is>
          <t>các bước khảo sát, cách làm khảo sát, nộp phiếu khảo sát nội bộ</t>
        </is>
      </c>
      <c r="H31" s="2" t="inlineStr">
        <is>
          <t>trả lời không có căn cứ khi đáp án chuẩn có thông tin; nguồn không liên quan; cán bộ giảng viên nếu câu hỏi chỉ dành cho sinh viên; nguồn CBGV sai đối tượng</t>
        </is>
      </c>
    </row>
    <row r="32">
      <c r="A32" s="2" t="inlineStr">
        <is>
          <t>PCNTT031</t>
        </is>
      </c>
      <c r="B32" s="2" t="inlineStr">
        <is>
          <t>Tại sao tôi vừa đăng nhập vào Web Support đã bị chặn màn hình và bắt làm khảo sát?</t>
        </is>
      </c>
      <c r="C32" s="2" t="inlineStr">
        <is>
          <t>2026.03.25.AI_HDSD TREN WEB SUPPORT SV.docx</t>
        </is>
      </c>
      <c r="D32" s="2" t="inlineStr">
        <is>
          <t>Mục II -&gt; 2</t>
        </is>
      </c>
      <c r="E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F32" s="2" t="inlineStr">
        <is>
          <t>Do Nhà trường đang có đợt khảo sát nội bộ bắt buộc. Hệ thống sẽ tự động chuyển hướng bạn sang phiếu khảo sát này; bạn phải hoàn thành và nộp phiếu mới có thể sử dụng tiếp các chức năng khác.; Từ khóa trọng tâm: bị chặn màn hình; lỗi khảo sát bắt buộc; không bấm được menu</t>
        </is>
      </c>
      <c r="G32" s="2" t="inlineStr">
        <is>
          <t>bị chặn màn hình, lỗi khảo sát bắt buộc, không bấm được menu</t>
        </is>
      </c>
      <c r="H32" s="2" t="inlineStr">
        <is>
          <t>trả lời không có căn cứ khi đáp án chuẩn có thông tin; nguồn không liên quan; cán bộ giảng viên nếu câu hỏi chỉ dành cho sinh viên; nguồn CBGV sai đối tượng</t>
        </is>
      </c>
    </row>
    <row r="33">
      <c r="A33" s="2" t="inlineStr">
        <is>
          <t>PCNTT032</t>
        </is>
      </c>
      <c r="B33" s="2" t="inlineStr">
        <is>
          <t>Đối tượng nào có thể tham gia "Khảo sát Bên ngoài" và truy cập bằng cách nào?</t>
        </is>
      </c>
      <c r="C33" s="2" t="inlineStr">
        <is>
          <t>2026.03.25.AI_HDSD TREN WEB SUPPORT SV.docx</t>
        </is>
      </c>
      <c r="D33" s="2" t="inlineStr">
        <is>
          <t>Mục II -&gt; 3</t>
        </is>
      </c>
      <c r="E33" s="2" t="inlineStr">
        <is>
          <t>Khảo sát bên ngoài dành cho người dùng không có tài khoản UNETI hoặc đợt khảo sát mở rộng. Bạn truy cập qua liên kết do trường cung cấp qua Email, Website, Tin nhắn hoặc quét mã QR.</t>
        </is>
      </c>
      <c r="F33" s="2" t="inlineStr">
        <is>
          <t>Khảo sát bên ngoài dành cho người dùng không có tài khoản UNETI hoặc đợt khảo sát mở rộng. Bạn truy cập qua liên kết do trường cung cấp qua Email, Website, Tin nhắn hoặc quét mã QR.; Từ khóa trọng tâm: quét mã qr khảo sát; link khảo sát bên ngoài; không cần đăng nhập</t>
        </is>
      </c>
      <c r="G33" s="2" t="inlineStr">
        <is>
          <t>quét mã qr khảo sát, link khảo sát bên ngoài, không cần đăng nhập</t>
        </is>
      </c>
      <c r="H33"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34">
      <c r="A34" s="2" t="inlineStr">
        <is>
          <t>PCNTT033</t>
        </is>
      </c>
      <c r="B34" s="2" t="inlineStr">
        <is>
          <t>Làm thế nào để nộp một phiếu Khảo sát Bên ngoài thành công?</t>
        </is>
      </c>
      <c r="C34" s="2" t="inlineStr">
        <is>
          <t>2026.03.25.AI_HDSD TREN WEB SUPPORT SV.docx</t>
        </is>
      </c>
      <c r="D34" s="2" t="inlineStr">
        <is>
          <t>Mục II -&gt; 3</t>
        </is>
      </c>
      <c r="E34" s="2" t="inlineStr">
        <is>
          <t>Bạn truy cập link/mã QR, điền đầy đủ thông tin cá nhân theo mẫu (Họ tên, Email, Lớp, Vai trò nếu có), trả lời các câu hỏi theo hướng dẫn và nhấn nút “Nộp khảo sát”.</t>
        </is>
      </c>
      <c r="F34" s="2" t="inlineStr">
        <is>
          <t>Bạn truy cập link/mã QR, điền đầy đủ thông tin cá nhân theo mẫu (Họ tên, Email, Lớp, Vai trò nếu có), trả lời các câu hỏi theo hướng dẫn và nhấn nút “Nộp khảo sát”.; Từ khóa trọng tâm: nộp khảo sát ngoài; điền thông tin cá nhân; hoàn thành phiếu</t>
        </is>
      </c>
      <c r="G34" s="2" t="inlineStr">
        <is>
          <t>nộp khảo sát ngoài, điền thông tin cá nhân, hoàn thành phiếu</t>
        </is>
      </c>
      <c r="H34"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35">
      <c r="A35" s="2" t="inlineStr">
        <is>
          <t>PCNTT034</t>
        </is>
      </c>
      <c r="B35" s="2" t="inlineStr">
        <is>
          <t>Sinh viên được làm một phiếu khảo sát tối đa bao nhiêu lần?</t>
        </is>
      </c>
      <c r="C35" s="2" t="inlineStr">
        <is>
          <t>2026.03.25.AI_HDSD TREN WEB SUPPORT SV.docx</t>
        </is>
      </c>
      <c r="D35" s="2" t="inlineStr">
        <is>
          <t>Mục II -&gt; 3</t>
        </is>
      </c>
      <c r="E35" s="2" t="inlineStr">
        <is>
          <t>Số lần tham gia phụ thuộc hoàn toàn vào quy định riêng của từng phiếu khảo sát. Có phiếu chỉ cho phép làm 1 lần duy nhất, có phiếu cho phép chỉnh sửa hoặc làm lại nhiều lần.</t>
        </is>
      </c>
      <c r="F35" s="2" t="inlineStr">
        <is>
          <t>Số lần tham gia phụ thuộc hoàn toàn vào quy định riêng của từng phiếu khảo sát. Có phiếu chỉ cho phép làm 1 lần duy nhất, có phiếu cho phép chỉnh sửa hoặc làm lại nhiều lần.; Từ khóa trọng tâm: làm khảo sát mấy lần; sửa phiếu khảo sát; giới hạn số lần làm</t>
        </is>
      </c>
      <c r="G35" s="2" t="inlineStr">
        <is>
          <t>làm khảo sát mấy lần, sửa phiếu khảo sát, giới hạn số lần làm</t>
        </is>
      </c>
      <c r="H35" s="2" t="inlineStr">
        <is>
          <t>trả lời không có căn cứ khi đáp án chuẩn có thông tin; nguồn không liên quan; cán bộ giảng viên nếu câu hỏi chỉ dành cho sinh viên; nguồn CBGV sai đối tượng</t>
        </is>
      </c>
    </row>
    <row r="36">
      <c r="A36" s="2" t="inlineStr">
        <is>
          <t>PCNTT035</t>
        </is>
      </c>
      <c r="B36" s="2" t="inlineStr">
        <is>
          <t>Mục đích của chức năng "Đánh giá thủ tục hành chính đã xử lý" là gì?</t>
        </is>
      </c>
      <c r="C36" s="2" t="inlineStr">
        <is>
          <t>2026.03.25.AI_HDSD TREN WEB SUPPORT SV.docx</t>
        </is>
      </c>
      <c r="D36" s="2" t="inlineStr">
        <is>
          <t>Mục III -&gt; 1</t>
        </is>
      </c>
      <c r="E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F36" s="2" t="inlineStr">
        <is>
          <t>Giúp sinh viên gửi phản hồi về mức độ hài lòng đối với các dịch vụ một cửa sau khi nhận kết quả hỗ trợ, làm cơ sở để Nhà trường theo dõi và nâng cao chất lượng phục vụ của các phòng ban.; Từ khóa trọng tâm: đánh giá một cửa; phản hồi thủ tục hành chính; mức độ hài lòng</t>
        </is>
      </c>
      <c r="G36" s="2" t="inlineStr">
        <is>
          <t>đánh giá một cửa, phản hồi thủ tục hành chính, mức độ hài lòng</t>
        </is>
      </c>
      <c r="H36"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37">
      <c r="A37" s="2" t="inlineStr">
        <is>
          <t>PCNTT036</t>
        </is>
      </c>
      <c r="B37" s="2" t="inlineStr">
        <is>
          <t>Thông tin cá nhân của sinh viên có bị lộ khi thực hiện đánh giá thủ tục một cửa không?</t>
        </is>
      </c>
      <c r="C37" s="2" t="inlineStr">
        <is>
          <t>2026.03.25.AI_HDSD TREN WEB SUPPORT SV.docx</t>
        </is>
      </c>
      <c r="D37" s="2" t="inlineStr">
        <is>
          <t>Mục III -&gt; 1</t>
        </is>
      </c>
      <c r="E37" s="2" t="inlineStr">
        <is>
          <t>Không. Nhà trường cam kết bảo mật hoàn toàn thông tin người đánh giá. Dữ liệu này chỉ phục vụ duy nhất cho công tác cải tiến chất lượng dịch vụ hành chính của trường.</t>
        </is>
      </c>
      <c r="F37" s="2" t="inlineStr">
        <is>
          <t>Không. Nhà trường cam kết bảo mật hoàn toàn thông tin người đánh giá. Dữ liệu này chỉ phục vụ duy nhất cho công tác cải tiến chất lượng dịch vụ hành chính của trường.; Từ khóa trọng tâm: bảo mật thông tin; ẩn danh đánh giá; có bị lộ tên không</t>
        </is>
      </c>
      <c r="G37" s="2" t="inlineStr">
        <is>
          <t>bảo mật thông tin, ẩn danh đánh giá, có bị lộ tên không</t>
        </is>
      </c>
      <c r="H37" s="2" t="inlineStr">
        <is>
          <t>trả lời không có căn cứ khi đáp án chuẩn có thông tin; nguồn không liên quan; cán bộ giảng viên nếu câu hỏi chỉ dành cho sinh viên; nguồn CBGV sai đối tượng</t>
        </is>
      </c>
    </row>
    <row r="38">
      <c r="A38" s="2" t="inlineStr">
        <is>
          <t>PCNTT037</t>
        </is>
      </c>
      <c r="B38" s="2" t="inlineStr">
        <is>
          <t>Làm thế nào để thực hiện đánh giá một yêu cầu thủ tục hành chính đã hoàn thành?</t>
        </is>
      </c>
      <c r="C38" s="2" t="inlineStr">
        <is>
          <t>2026.03.25.AI_HDSD TREN WEB SUPPORT SV.docx</t>
        </is>
      </c>
      <c r="D38" s="2" t="inlineStr">
        <is>
          <t>Mục III -&gt; 2</t>
        </is>
      </c>
      <c r="E38" s="2" t="inlineStr">
        <is>
          <t>Bước 1: Đăng nhập hệ thống. Bước 2: Chọn mục “Thủ tục hành chính" &gt; "Đánh giá – Thủ tục hành chính". Bước 3: Tìm yêu cầu, nhấn "Đánh giá" tại cột thao tác, chọn mức hài lòng và gửi.</t>
        </is>
      </c>
      <c r="F38" s="2" t="inlineStr">
        <is>
          <t>Bước 1: Đăng nhập hệ thống. Bước 2: Chọn mục “Thủ tục hành chính" &gt; "Đánh giá – Thủ tục hành chính". Bước 3: Tìm yêu cầu, nhấn "Đánh giá" tại cột thao tác, chọn mức hài lòng và gửi.; Từ khóa trọng tâm: link đánh giá thủ tục; các bước đánh giá một cửa; gửi phản hồi</t>
        </is>
      </c>
      <c r="G38" s="2" t="inlineStr">
        <is>
          <t>link đánh giá thủ tục, các bước đánh giá một cửa, gửi phản hồi</t>
        </is>
      </c>
      <c r="H38"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row>
    <row r="39">
      <c r="A39" s="2" t="inlineStr">
        <is>
          <t>PCNTT038</t>
        </is>
      </c>
      <c r="B39" s="2" t="inlineStr">
        <is>
          <t>Sinh viên có tìm kiếm phiếu thủ tục cần đánh giá dựa trên những tiêu chí nào?</t>
        </is>
      </c>
      <c r="C39" s="2" t="inlineStr">
        <is>
          <t>2026.03.25.AI_HDSD TREN WEB SUPPORT SV.docx</t>
        </is>
      </c>
      <c r="D39" s="2" t="inlineStr">
        <is>
          <t>Mục III -&gt; 2</t>
        </is>
      </c>
      <c r="E39" s="2" t="inlineStr">
        <is>
          <t>Tại màn hình danh sách, bạn có thể sử dụng bộ lọc để tìm nhanh theo Nhóm thủ tục, lọc theo Tên thủ tục, lọc theo Trạng thái xử lý hoặc xem theo Ngày đề nghị đã gửi.</t>
        </is>
      </c>
      <c r="F39" s="2" t="inlineStr">
        <is>
          <t>Tại màn hình danh sách, bạn có thể sử dụng bộ lọc để tìm nhanh theo Nhóm thủ tục, lọc theo Tên thủ tục, lọc theo Trạng thái xử lý hoặc xem theo Ngày đề nghị đã gửi.; Từ khóa trọng tâm: tìm phiếu đánh giá; lọc nhóm thủ tục; trạng thái xử lý</t>
        </is>
      </c>
      <c r="G39" s="2" t="inlineStr">
        <is>
          <t>tìm phiếu đánh giá, lọc nhóm thủ tục, trạng thái xử lý</t>
        </is>
      </c>
      <c r="H39" s="2" t="inlineStr">
        <is>
          <t>trả lời không có căn cứ khi đáp án chuẩn có thông tin; nguồn không liên quan; cán bộ giảng viên nếu câu hỏi chỉ dành cho sinh viên; nguồn CBGV sai đối tượng</t>
        </is>
      </c>
    </row>
    <row r="40">
      <c r="A40" s="2" t="inlineStr">
        <is>
          <t>PCNTT039</t>
        </is>
      </c>
      <c r="B40" s="2" t="inlineStr">
        <is>
          <t>Chức năng đánh giá thủ tục một cửa cung cấp bao nhiêu mức độ hài lòng để sinh viên lựa chọn?</t>
        </is>
      </c>
      <c r="C40" s="2" t="inlineStr">
        <is>
          <t>2026.03.25.AI_HDSD TREN WEB SUPPORT SV.docx</t>
        </is>
      </c>
      <c r="D40" s="2" t="inlineStr">
        <is>
          <t>Mục III -&gt; 2</t>
        </is>
      </c>
      <c r="E40" s="2" t="inlineStr">
        <is>
          <t>Hệ thống cung cấp chính xác 05 mức độ hài lòng để sinh viên tích chọn đánh giá phù hợp với trải nghiệm thực tế của mình đối với dịch vụ nhận được.</t>
        </is>
      </c>
      <c r="F40" s="2" t="inlineStr">
        <is>
          <t>Hệ thống cung cấp chính xác 05 mức độ hài lòng để sinh viên tích chọn đánh giá phù hợp với trải nghiệm thực tế của mình đối với dịch vụ nhận được.; Từ khóa trọng tâm: 5 mức hài lòng; mức độ đánh giá; tích chọn độ hài lòng</t>
        </is>
      </c>
      <c r="G40" s="2" t="inlineStr">
        <is>
          <t>5 mức hài lòng, mức độ đánh giá, tích chọn độ hài lòng</t>
        </is>
      </c>
      <c r="H40" s="2" t="inlineStr">
        <is>
          <t>trả lời không có căn cứ khi đáp án chuẩn có thông tin; nguồn không liên quan; cán bộ giảng viên nếu câu hỏi chỉ dành cho sinh viên; nguồn CBGV sai đối tượng</t>
        </is>
      </c>
    </row>
    <row r="41">
      <c r="A41" s="2" t="inlineStr">
        <is>
          <t>PCNTT040</t>
        </is>
      </c>
      <c r="B41" s="2" t="inlineStr">
        <is>
          <t>Sinh viên có bắt buộc phải nhập ý kiến đóng góp bằng chữ khi đánh giá thủ tục không?</t>
        </is>
      </c>
      <c r="C41" s="2" t="inlineStr">
        <is>
          <t>2026.03.25.AI_HDSD TREN WEB SUPPORT SV.docx</t>
        </is>
      </c>
      <c r="D41" s="2" t="inlineStr">
        <is>
          <t>Mục III -&gt; 2</t>
        </is>
      </c>
      <c r="E41" s="2" t="inlineStr">
        <is>
          <t>Không bắt buộc. Phần nhập ý kiến đóng góp, bổ sung hoặc phản ánh thêm là mục không bắt buộc, sinh viên có thể bỏ qua và chỉ cần chọn mức độ hài lòng rồi nhấn nút gửi.</t>
        </is>
      </c>
      <c r="F41" s="2" t="inlineStr">
        <is>
          <t>Không bắt buộc. Phần nhập ý kiến đóng góp, bổ sung hoặc phản ánh thêm là mục không bắt buộc, sinh viên có thể bỏ qua và chỉ cần chọn mức độ hài lòng rồi nhấn nút gửi.; Từ khóa trọng tâm: ý kiến bổ sung; viết đóng góp; mục không bắt buộc</t>
        </is>
      </c>
      <c r="G41" s="2" t="inlineStr">
        <is>
          <t>ý kiến bổ sung, viết đóng góp, mục không bắt buộc</t>
        </is>
      </c>
      <c r="H41" s="2" t="inlineStr">
        <is>
          <t>trả lời không có căn cứ khi đáp án chuẩn có thông tin; nguồn không liên quan; cán bộ giảng viên nếu câu hỏi chỉ dành cho sinh viên; nguồn CBGV sai đối tượng</t>
        </is>
      </c>
    </row>
    <row r="42">
      <c r="A42" s="2" t="inlineStr">
        <is>
          <t>PCNTT041</t>
        </is>
      </c>
      <c r="B42" s="2" t="inlineStr">
        <is>
          <t>Chức năng "Tra cứu – Khối lượng công tác giảng viên" dùng để làm gì?</t>
        </is>
      </c>
      <c r="C42" s="2" t="inlineStr">
        <is>
          <t>2026.03.25.AI_HDSD TREN WEB SUPPORT CBGV.docx</t>
        </is>
      </c>
      <c r="D42" s="2" t="inlineStr">
        <is>
          <t>I -&gt; 1 -&gt; 1.1</t>
        </is>
      </c>
      <c r="E42" s="2" t="inlineStr">
        <is>
          <t>Chức năng này giúp giảng viên tự tra cứu, theo dõi thông tin nhân sự, lớp học phần được phân công, khối lượng giảng dạy, coi/chấm thi, NCKH, khối lượng bù và tổng hợp thanh toán dự kiến.</t>
        </is>
      </c>
      <c r="F42" s="2" t="inlineStr">
        <is>
          <t>Chức năng này giúp giảng viên tự tra cứu, theo dõi thông tin nhân sự, lớp học phần được phân công, khối lượng giảng dạy, coi/chấm thi, NCKH, khối lượng bù và tổng hợp thanh toán dự kiến.; Từ khóa trọng tâm: khối lượng giảng dạy; coi thi; chấm thi; nckh; thanh toán dự kiến</t>
        </is>
      </c>
      <c r="G42" s="2" t="inlineStr">
        <is>
          <t>khối lượng giảng dạy, coi thi, chấm thi, nckh, thanh toán dự kiến</t>
        </is>
      </c>
      <c r="H42" s="2" t="inlineStr">
        <is>
          <t>trả lời không có căn cứ khi đáp án chuẩn có thông tin; nguồn không liên quan; sinh viên nếu câu hỏi chỉ dành cho CBGV; nguồn SV sai đối tượng</t>
        </is>
      </c>
    </row>
    <row r="43">
      <c r="A43" s="2" t="inlineStr">
        <is>
          <t>PCNTT042</t>
        </is>
      </c>
      <c r="B43" s="2" t="inlineStr">
        <is>
          <t>Giảng viên có thể xem được dữ liệu khối lượng công tác của người khác không?</t>
        </is>
      </c>
      <c r="C43" s="2" t="inlineStr">
        <is>
          <t>2026.03.25.AI_HDSD TREN WEB SUPPORT CBGV.docx</t>
        </is>
      </c>
      <c r="D43" s="2" t="inlineStr">
        <is>
          <t>I -&gt; 1 -&gt; 1.1</t>
        </is>
      </c>
      <c r="E43" s="2" t="inlineStr">
        <is>
          <t>Không. Giảng viên chỉ xem được dữ liệu của chính mình. Số liệu hiển thị sẽ phụ thuộc vào năm học, học kỳ và trạng thái duyệt tại từng màn hình.</t>
        </is>
      </c>
      <c r="F43" s="2" t="inlineStr">
        <is>
          <t>Không. Giảng viên chỉ xem được dữ liệu của chính mình. Số liệu hiển thị sẽ phụ thuộc vào năm học, học kỳ và trạng thái duyệt tại từng màn hình.; Từ khóa trọng tâm: xem điểm người khác; bảo mật dữ liệu; phạm vi hiển thị</t>
        </is>
      </c>
      <c r="G43" s="2" t="inlineStr">
        <is>
          <t>xem điểm người khác, bảo mật dữ liệu, phạm vi hiển thị</t>
        </is>
      </c>
      <c r="H43"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44">
      <c r="A44" s="2" t="inlineStr">
        <is>
          <t>PCNTT043</t>
        </is>
      </c>
      <c r="B44" s="2" t="inlineStr">
        <is>
          <t>Làm thế nào để truy cập chức năng Tra cứu khối lượng công tác giảng viên?</t>
        </is>
      </c>
      <c r="C44" s="2" t="inlineStr">
        <is>
          <t>2026.03.25.AI_HDSD TREN WEB SUPPORT CBGV.docx</t>
        </is>
      </c>
      <c r="D44" s="2" t="inlineStr">
        <is>
          <t>I -&gt; 1 -&gt; 1.2</t>
        </is>
      </c>
      <c r="E44" s="2" t="inlineStr">
        <is>
          <t>Cách 1: Đăng nhập https://support.uneti.edu.vn, chọn menu "Công tác giảng viên" -&gt; "Tra cứu – Khối lượng công tác giảng viên". Cách 2: Truy cập thẳng đường link hệ thống cung cấp trong văn bản hướng dẫn.</t>
        </is>
      </c>
      <c r="F44" s="2" t="inlineStr">
        <is>
          <t>Cách 1: Đăng nhập https://support.uneti.edu.vn, chọn menu "Công tác giảng viên" -&gt; "Tra cứu – Khối lượng công tác giảng viên". Cách 2: Truy cập thẳng đường link hệ thống cung cấp trong văn bản hướng dẫn.; Từ khóa trọng tâm: đường dẫn tra cứu; cách vào xem khối lượng; link công tác</t>
        </is>
      </c>
      <c r="G44" s="2" t="inlineStr">
        <is>
          <t>đường dẫn tra cứu, cách vào xem khối lượng, link công tác</t>
        </is>
      </c>
      <c r="H44"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45">
      <c r="A45" s="2" t="inlineStr">
        <is>
          <t>PCNTT044</t>
        </is>
      </c>
      <c r="B45" s="2" t="inlineStr">
        <is>
          <t>Trên màn hình "Thông tin nhân sự", tôi có thể kiểm tra những thông tin nào?</t>
        </is>
      </c>
      <c r="C45" s="2" t="inlineStr">
        <is>
          <t>2026.03.25.AI_HDSD TREN WEB SUPPORT CBGV.docx</t>
        </is>
      </c>
      <c r="D45" s="2" t="inlineStr">
        <is>
          <t>I -&gt; 1 -&gt; 1.3 -&gt; a</t>
        </is>
      </c>
      <c r="E45" s="2" t="inlineStr">
        <is>
          <t>Bạn có thể kiểm tra thông tin định danh cá nhân gồm: Mã cán bộ, Họ và tên, Bộ môn, Khoa/Trung tâm, Chức vụ và Học vị hiện tại của mình.</t>
        </is>
      </c>
      <c r="F45" s="2" t="inlineStr">
        <is>
          <t>Bạn có thể kiểm tra thông tin định danh cá nhân gồm: Mã cán bộ, Họ và tên, Bộ môn, Khoa/Trung tâm, Chức vụ và Học vị hiện tại của mình.; Từ khóa trọng tâm: thông tin cá nhân; mã cán bộ; học vị; chức vụ giảng viên</t>
        </is>
      </c>
      <c r="G45" s="2" t="inlineStr">
        <is>
          <t>thông tin cá nhân, mã cán bộ, học vị, chức vụ giảng viên</t>
        </is>
      </c>
      <c r="H45"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46">
      <c r="A46" s="2" t="inlineStr">
        <is>
          <t>PCNTT045</t>
        </is>
      </c>
      <c r="B46" s="2" t="inlineStr">
        <is>
          <t>Làm sao để xem danh sách các lớp học phần mình được phân công giảng dạy?</t>
        </is>
      </c>
      <c r="C46" s="2" t="inlineStr">
        <is>
          <t>2026.03.25.AI_HDSD TREN WEB SUPPORT CBGV.docx</t>
        </is>
      </c>
      <c r="D46" s="2" t="inlineStr">
        <is>
          <t>I -&gt; 1 -&gt; 1.3 -&gt; b</t>
        </is>
      </c>
      <c r="E46" s="2" t="inlineStr">
        <is>
          <t>Tại giao diện Tra cứu, bạn chọn tab "Lớp học phần". Hệ thống sẽ hiển thị danh sách các lớp bạn dạy trong năm học và học kỳ đã chọn.</t>
        </is>
      </c>
      <c r="F46" s="2" t="inlineStr">
        <is>
          <t>Tại giao diện Tra cứu, bạn chọn tab "Lớp học phần". Hệ thống sẽ hiển thị danh sách các lớp bạn dạy trong năm học và học kỳ đã chọn.; Từ khóa trọng tâm: lớp học phần; danh sách lớp dạy; phân công giảng dạy</t>
        </is>
      </c>
      <c r="G46" s="2" t="inlineStr">
        <is>
          <t>lớp học phần, danh sách lớp dạy, phân công giảng dạy</t>
        </is>
      </c>
      <c r="H46"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47">
      <c r="A47" s="2" t="inlineStr">
        <is>
          <t>PCNTT046</t>
        </is>
      </c>
      <c r="B47" s="2" t="inlineStr">
        <is>
          <t>Tại màn hình "Lớp học phần", tôi có thể xem được các thông số chi tiết nào?</t>
        </is>
      </c>
      <c r="C47" s="2" t="inlineStr">
        <is>
          <t>2026.03.25.AI_HDSD TREN WEB SUPPORT CBGV.docx</t>
        </is>
      </c>
      <c r="D47" s="2" t="inlineStr">
        <is>
          <t>I -&gt; 1 -&gt; 1.3 -&gt; b</t>
        </is>
      </c>
      <c r="E47" s="2" t="inlineStr">
        <is>
          <t>Bạn xem được: Mã lớp học phần, Tên môn học, Số tín chỉ, Số sinh viên, Hình thức thi (Tự luận/Trắc nghiệm/Vấn đáp/Báo cáo) và Trạng thái đồng bộ dữ liệu.</t>
        </is>
      </c>
      <c r="F47" s="2" t="inlineStr">
        <is>
          <t>Bạn xem được: Mã lớp học phần, Tên môn học, Số tín chỉ, Số sinh viên, Hình thức thi (Tự luận/Trắc nghiệm/Vấn đáp/Báo cáo) và Trạng thái đồng bộ dữ liệu.; Từ khóa trọng tâm: hình thức thi; số tín chỉ; sĩ số lớp; mã lớp học phần</t>
        </is>
      </c>
      <c r="G47" s="2" t="inlineStr">
        <is>
          <t>hình thức thi, số tín chỉ, sĩ số lớp, mã lớp học phần</t>
        </is>
      </c>
      <c r="H47"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48">
      <c r="A48" s="2" t="inlineStr">
        <is>
          <t>PCNTT047</t>
        </is>
      </c>
      <c r="B48" s="2" t="inlineStr">
        <is>
          <t>Màn hình "Khối lượng giảng dạy" cung cấp thông tin gì cho giảng viên?</t>
        </is>
      </c>
      <c r="C48" s="2" t="inlineStr">
        <is>
          <t>2026.03.25.AI_HDSD TREN WEB SUPPORT CBGV.docx</t>
        </is>
      </c>
      <c r="D48" s="2" t="inlineStr">
        <is>
          <t>I -&gt; 1 -&gt; 1.3 -&gt; c</t>
        </is>
      </c>
      <c r="E48" s="2" t="inlineStr">
        <is>
          <t>Cung cấp bảng tính chi tiết số tiết giảng dạy thực tế của từng lớp học phần, bao gồm số tiết lý thuyết, thảo luận, thực hành và tổng số tiết quy đổi.</t>
        </is>
      </c>
      <c r="F48" s="2" t="inlineStr">
        <is>
          <t>Cung cấp bảng tính chi tiết số tiết giảng dạy thực tế của từng lớp học phần, bao gồm số tiết lý thuyết, thảo luận, thực hành và tổng số tiết quy đổi.; Từ khóa trọng tâm: số tiết dạy; tiết quy đổi; tiết lý thuyết; thực hành</t>
        </is>
      </c>
      <c r="G48" s="2" t="inlineStr">
        <is>
          <t>số tiết dạy, tiết quy đổi, tiết lý thuyết, thực hành</t>
        </is>
      </c>
      <c r="H48" s="2" t="inlineStr">
        <is>
          <t>trả lời không có căn cứ khi đáp án chuẩn có thông tin; nguồn không liên quan; sinh viên nếu câu hỏi chỉ dành cho CBGV; nguồn SV sai đối tượng</t>
        </is>
      </c>
    </row>
    <row r="49">
      <c r="A49" s="2" t="inlineStr">
        <is>
          <t>PCNTT048</t>
        </is>
      </c>
      <c r="B49" s="2" t="inlineStr">
        <is>
          <t>Tôi muốn kiểm tra số giờ coi thi và chấm thi của mình thì xem ở đâu?</t>
        </is>
      </c>
      <c r="C49" s="2" t="inlineStr">
        <is>
          <t>2026.03.25.AI_HDSD TREN WEB SUPPORT CBGV.docx</t>
        </is>
      </c>
      <c r="D49" s="2" t="inlineStr">
        <is>
          <t>I -&gt; 1 -&gt; 1.3 -&gt; d</t>
        </is>
      </c>
      <c r="E49" s="2" t="inlineStr">
        <is>
          <t>Bạn chọn tab "Khối lượng coi, chấm thi". Hệ thống sẽ hiển thị chi tiết số lượt coi thi, số bài chấm thi tương ứng với từng học kỳ và mức quy đổi giờ cấu trúc tương ứng.</t>
        </is>
      </c>
      <c r="F49" s="2" t="inlineStr">
        <is>
          <t>Bạn chọn tab "Khối lượng coi, chấm thi". Hệ thống sẽ hiển thị chi tiết số lượt coi thi, số bài chấm thi tương ứng với từng học kỳ và mức quy đổi giờ cấu trúc tương ứng.; Từ khóa trọng tâm: giờ coi thi; công chấm thi; số lượt coi thi; số bài chấm</t>
        </is>
      </c>
      <c r="G49" s="2" t="inlineStr">
        <is>
          <t>giờ coi thi, công chấm thi, số lượt coi thi, số bài chấm</t>
        </is>
      </c>
      <c r="H49"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50">
      <c r="A50" s="2" t="inlineStr">
        <is>
          <t>PCNTT049</t>
        </is>
      </c>
      <c r="B50" s="2" t="inlineStr">
        <is>
          <t>"Khối lượng bù" trong mục tra cứu công tác giảng viên là gì?</t>
        </is>
      </c>
      <c r="C50" s="2" t="inlineStr">
        <is>
          <t>2026.03.25.AI_HDSD TREN WEB SUPPORT CBGV.docx</t>
        </is>
      </c>
      <c r="D50" s="2" t="inlineStr">
        <is>
          <t>I -&gt; 1 -&gt; 1.3 -&gt; e</t>
        </is>
      </c>
      <c r="E50" s="2" t="inlineStr">
        <is>
          <t>Là màn hình hiển thị các khoản khối lượng được cộng bù hoặc điều chỉnh phát sinh ngoài kế hoạch giảng dạy chính thức đã được phê duyệt trong kỳ.</t>
        </is>
      </c>
      <c r="F50" s="2" t="inlineStr">
        <is>
          <t>Là màn hình hiển thị các khoản khối lượng được cộng bù hoặc điều chỉnh phát sinh ngoài kế hoạch giảng dạy chính thức đã được phê duyệt trong kỳ.; Từ khóa trọng tâm: khối lượng cộng thêm; dạy bù; điều chỉnh khối lượng</t>
        </is>
      </c>
      <c r="G50" s="2" t="inlineStr">
        <is>
          <t>khối lượng cộng thêm, dạy bù, điều chỉnh khối lượng</t>
        </is>
      </c>
      <c r="H50" s="2" t="inlineStr">
        <is>
          <t>trả lời không có căn cứ khi đáp án chuẩn có thông tin; nguồn không liên quan; sinh viên nếu câu hỏi chỉ dành cho CBGV; nguồn SV sai đối tượng</t>
        </is>
      </c>
    </row>
    <row r="51">
      <c r="A51" s="2" t="inlineStr">
        <is>
          <t>PCNTT050</t>
        </is>
      </c>
      <c r="B51" s="2" t="inlineStr">
        <is>
          <t>Làm thế nào để biết tổng số tiền thanh toán dự kiến cho khối lượng công việc của tôi?</t>
        </is>
      </c>
      <c r="C51" s="2" t="inlineStr">
        <is>
          <t>2026.03.25.AI_HDSD TREN WEB SUPPORT CBGV.docx</t>
        </is>
      </c>
      <c r="D51" s="2" t="inlineStr">
        <is>
          <t>I -&gt; 1 -&gt; 1.3 -&gt; f</t>
        </is>
      </c>
      <c r="E51" s="2" t="inlineStr">
        <is>
          <t>Bạn vào màn hình "Tổng hợp khối lượng và thanh toán". Hệ thống sẽ tự động tổng hợp tổng số tiết quy đổi từ dạy, coi/chấm thi, NCKH và áp đơn giá để ra tổng số tiền dự kiến nhận.</t>
        </is>
      </c>
      <c r="F51" s="2" t="inlineStr">
        <is>
          <t>Bạn vào màn hình "Tổng hợp khối lượng và thanh toán". Hệ thống sẽ tự động tổng hợp tổng số tiết quy đổi từ dạy, coi/chấm thi, NCKH và áp đơn giá để ra tổng số tiền dự kiến nhận.; Từ khóa trọng tâm: tổng tiền nhận; đơn giá tiết dạy; thanh toán dự kiến; tổng hợp tiết</t>
        </is>
      </c>
      <c r="G51" s="2" t="inlineStr">
        <is>
          <t>tổng tiền nhận, đơn giá tiết dạy, thanh toán dự kiến, tổng hợp tiết</t>
        </is>
      </c>
      <c r="H51"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52">
      <c r="A52" s="2" t="inlineStr">
        <is>
          <t>PCNTT051</t>
        </is>
      </c>
      <c r="B52" s="2" t="inlineStr">
        <is>
          <t>Tại sao số liệu thanh toán hoặc khối lượng công tác của tôi hiển thị bằng 0 hoặc chưa chính xác?</t>
        </is>
      </c>
      <c r="C52" s="2" t="inlineStr">
        <is>
          <t>2026.03.25.AI_HDSD TREN WEB SUPPORT CBGV.docx</t>
        </is>
      </c>
      <c r="D52" s="2" t="inlineStr">
        <is>
          <t>I -&gt; 1 -&gt; 1.3</t>
        </is>
      </c>
      <c r="E52" s="2" t="inlineStr">
        <is>
          <t>Do số liệu hiển thị phụ thuộc vào tiến độ cập nhật và trạng thái phê duyệt của các phòng ban chức năng. Nếu chưa được duyệt, dữ liệu sẽ chưa hiển thị đúng.</t>
        </is>
      </c>
      <c r="F52" s="2" t="inlineStr">
        <is>
          <t>Do số liệu hiển thị phụ thuộc vào tiến độ cập nhật và trạng thái phê duyệt của các phòng ban chức năng. Nếu chưa được duyệt, dữ liệu sẽ chưa hiển thị đúng.; Từ khóa trọng tâm: lỗi hiển thị bằng 0; số liệu sai; chưa cập nhật khối lượng</t>
        </is>
      </c>
      <c r="G52" s="2" t="inlineStr">
        <is>
          <t>lỗi hiển thị bằng 0, số liệu sai, chưa cập nhật khối lượng</t>
        </is>
      </c>
      <c r="H52" s="2" t="inlineStr">
        <is>
          <t>trả lời không có căn cứ khi đáp án chuẩn có thông tin; nguồn không liên quan; sinh viên nếu câu hỏi chỉ dành cho CBGV; nguồn SV sai đối tượng</t>
        </is>
      </c>
    </row>
    <row r="53">
      <c r="A53" s="2" t="inlineStr">
        <is>
          <t>PCNTT052</t>
        </is>
      </c>
      <c r="B53" s="2" t="inlineStr">
        <is>
          <t>Mục đích của chức năng "Quản lý thiết bị giảng đường – Báo hỏng" là gì?</t>
        </is>
      </c>
      <c r="C53" s="2" t="inlineStr">
        <is>
          <t>2026.03.25.AI_HDSD TREN WEB SUPPORT CBGV.docx</t>
        </is>
      </c>
      <c r="D53" s="2" t="inlineStr">
        <is>
          <t>II -&gt; 1 -&gt; 1.1</t>
        </is>
      </c>
      <c r="E53" s="2" t="inlineStr">
        <is>
          <t>Giúp giảng viên báo cáo nhanh các sự cố, hỏng hóc về cơ sở vật chất, thiết bị (máy tính, máy chiếu, mạng, bàn ghế) tại các phòng học để bộ phận kỹ thuật kịp thời sửa chữa.</t>
        </is>
      </c>
      <c r="F53" s="2" t="inlineStr">
        <is>
          <t>Giúp giảng viên báo cáo nhanh các sự cố, hỏng hóc về cơ sở vật chất, thiết bị (máy tính, máy chiếu, mạng, bàn ghế) tại các phòng học để bộ phận kỹ thuật kịp thời sửa chữa.; Từ khóa trọng tâm: hỏng máy chiếu; lỗi mạng phòng học; hỏng điều hòa; cơ sở vật chất</t>
        </is>
      </c>
      <c r="G53" s="2" t="inlineStr">
        <is>
          <t>hỏng máy chiếu, lỗi mạng phòng học, hỏng điều hòa, cơ sở vật chất</t>
        </is>
      </c>
      <c r="H53" s="2" t="inlineStr">
        <is>
          <t>trả lời không có căn cứ khi đáp án chuẩn có thông tin; nguồn không liên quan; sinh viên nếu câu hỏi chỉ dành cho CBGV; nguồn SV sai đối tượng</t>
        </is>
      </c>
    </row>
    <row r="54">
      <c r="A54" s="2" t="inlineStr">
        <is>
          <t>PCNTT053</t>
        </is>
      </c>
      <c r="B54" s="2" t="inlineStr">
        <is>
          <t>Giảng viên truy cập chức năng Báo hỏng thiết bị giảng đường như thế nào?</t>
        </is>
      </c>
      <c r="C54" s="2" t="inlineStr">
        <is>
          <t>2026.03.25.AI_HDSD TREN WEB SUPPORT CBGV.docx</t>
        </is>
      </c>
      <c r="D54" s="2" t="inlineStr">
        <is>
          <t>II -&gt; 1 -&gt; 1.2</t>
        </is>
      </c>
      <c r="E54" s="2" t="inlineStr">
        <is>
          <t>Đăng nhập hệ thống, tại menu chính chọn "Quản lý thiết bị giảng đường" -&gt; Chọn tiếp chức năng "Báo hỏng".</t>
        </is>
      </c>
      <c r="F54" s="2" t="inlineStr">
        <is>
          <t>Đăng nhập hệ thống, tại menu chính chọn "Quản lý thiết bị giảng đường" -&gt; Chọn tiếp chức năng "Báo hỏng".; Từ khóa trọng tâm: cách báo hỏng thiết bị; lối vào mục báo hỏng</t>
        </is>
      </c>
      <c r="G54" s="2" t="inlineStr">
        <is>
          <t>cách báo hỏng thiết bị, lối vào mục báo hỏng</t>
        </is>
      </c>
      <c r="H54"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55">
      <c r="A55" s="2" t="inlineStr">
        <is>
          <t>PCNTT054</t>
        </is>
      </c>
      <c r="B55" s="2" t="inlineStr">
        <is>
          <t>Có mấy hình thức chọn thiết bị khi làm phiếu báo hỏng?</t>
        </is>
      </c>
      <c r="C55" s="2" t="inlineStr">
        <is>
          <t>2026.03.25.AI_HDSD TREN WEB SUPPORT CBGV.docx</t>
        </is>
      </c>
      <c r="D55" s="2" t="inlineStr">
        <is>
          <t>II -&gt; 1 -&gt; 1.3</t>
        </is>
      </c>
      <c r="E55" s="2" t="inlineStr">
        <is>
          <t>Có 2 hình thức: Chọn "Theo hiện tượng sự cố" (nếu không biết rõ mã thiết bị) hoặc chọn "Theo cụ thể thiết bị" (nếu xác định được chính xác thiết bị hỏng qua mã tài sản).</t>
        </is>
      </c>
      <c r="F55" s="2" t="inlineStr">
        <is>
          <t>Có 2 hình thức: Chọn "Theo hiện tượng sự cố" (nếu không biết rõ mã thiết bị) hoặc chọn "Theo cụ thể thiết bị" (nếu xác định được chính xác thiết bị hỏng qua mã tài sản).; Từ khóa trọng tâm: hiện tượng sự cố; mã tài sản; phân loại báo hỏng</t>
        </is>
      </c>
      <c r="G55" s="2" t="inlineStr">
        <is>
          <t>hiện tượng sự cố, mã tài sản, phân loại báo hỏng</t>
        </is>
      </c>
      <c r="H55" s="2" t="inlineStr">
        <is>
          <t>trả lời không có căn cứ khi đáp án chuẩn có thông tin; nguồn không liên quan; sinh viên nếu câu hỏi chỉ dành cho CBGV; nguồn SV sai đối tượng</t>
        </is>
      </c>
    </row>
    <row r="56">
      <c r="A56" s="2" t="inlineStr">
        <is>
          <t>PCNTT055</t>
        </is>
      </c>
      <c r="B56" s="2" t="inlineStr">
        <is>
          <t>Khi báo hỏng thiết bị giảng đường, bước đầu tiên tôi cần chọn thông tin gì?</t>
        </is>
      </c>
      <c r="C56" s="2" t="inlineStr">
        <is>
          <t>2026.03.25.AI_HDSD TREN WEB SUPPORT CBGV.docx</t>
        </is>
      </c>
      <c r="D56" s="2" t="inlineStr">
        <is>
          <t>II -&gt; 1 -&gt; 1.3 -&gt; Bước 1</t>
        </is>
      </c>
      <c r="E56" s="2" t="inlineStr">
        <is>
          <t>Bạn cần chọn chính xác Cơ sở (Ví dụ: Minh Khai, Lĩnh Nam, Nam Định), chọn Tòa nhà (Block) và chọn số Phòng học cụ thể xảy ra sự cố.</t>
        </is>
      </c>
      <c r="F56" s="2" t="inlineStr">
        <is>
          <t>Bạn cần chọn chính xác Cơ sở (Ví dụ: Minh Khai, Lĩnh Nam, Nam Định), chọn Tòa nhà (Block) và chọn số Phòng học cụ thể xảy ra sự cố.; Từ khóa trọng tâm: chọn phòng học; chọn tòa nhà; cơ sở xảy ra sự cố</t>
        </is>
      </c>
      <c r="G56" s="2" t="inlineStr">
        <is>
          <t>chọn phòng học, chọn tòa nhà, cơ sở xảy ra sự cố</t>
        </is>
      </c>
      <c r="H56" s="2" t="inlineStr">
        <is>
          <t>trả lời không có căn cứ khi đáp án chuẩn có thông tin; nguồn không liên quan; sinh viên nếu câu hỏi chỉ dành cho CBGV; nguồn SV sai đối tượng</t>
        </is>
      </c>
    </row>
    <row r="57">
      <c r="A57" s="2" t="inlineStr">
        <is>
          <t>PCNTT056</t>
        </is>
      </c>
      <c r="B57" s="2" t="inlineStr">
        <is>
          <t>Mục "Lĩnh vực sự cố" và "Tên sự cố" trong phiếu báo hỏng được chọn như thế nào?</t>
        </is>
      </c>
      <c r="C57" s="2" t="inlineStr">
        <is>
          <t>2026.03.25.AI_HDSD TREN WEB SUPPORT CBGV.docx</t>
        </is>
      </c>
      <c r="D57" s="2" t="inlineStr">
        <is>
          <t>II -&gt; 1 -&gt; 1.3 -&gt; Bước 2</t>
        </is>
      </c>
      <c r="E57" s="2" t="inlineStr">
        <is>
          <t>Hệ thống có danh mục gợi ý sẵn. Bạn chọn Lĩnh vực (Ví dụ: Thiết bị CNTT, Điện tử, Mạng) và Tên sự cố tương ứng (Ví dụ: Máy chiếu không lên, Mất kết nối mạng, Hỏng loa).</t>
        </is>
      </c>
      <c r="F57" s="2" t="inlineStr">
        <is>
          <t>Hệ thống có danh mục gợi ý sẵn. Bạn chọn Lĩnh vực (Ví dụ: Thiết bị CNTT, Điện tử, Mạng) và Tên sự cố tương ứng (Ví dụ: Máy chiếu không lên, Mất kết nối mạng, Hỏng loa).; Từ khóa trọng tâm: lĩnh vực sự cố; máy chiếu không lên; mất wifi; hỏng loa</t>
        </is>
      </c>
      <c r="G57" s="2" t="inlineStr">
        <is>
          <t>lĩnh vực sự cố, máy chiếu không lên, mất wifi, hỏng loa</t>
        </is>
      </c>
      <c r="H57" s="2" t="inlineStr">
        <is>
          <t>trả lời không có căn cứ khi đáp án chuẩn có thông tin; nguồn không liên quan; sinh viên nếu câu hỏi chỉ dành cho CBGV; nguồn SV sai đối tượng</t>
        </is>
      </c>
    </row>
    <row r="58">
      <c r="A58" s="2" t="inlineStr">
        <is>
          <t>PCNTT057</t>
        </is>
      </c>
      <c r="B58" s="2" t="inlineStr">
        <is>
          <t>Tôi có bắt buộc phải chụp ảnh thiết bị hỏng khi gửi phiếu báo hỏng không?</t>
        </is>
      </c>
      <c r="C58" s="2" t="inlineStr">
        <is>
          <t>2026.03.25.AI_HDSD TREN WEB SUPPORT CBGV.docx</t>
        </is>
      </c>
      <c r="D58" s="2" t="inlineStr">
        <is>
          <t>II -&gt; 1 -&gt; 1.3 -&gt; Bước 3</t>
        </is>
      </c>
      <c r="E58" s="2" t="inlineStr">
        <is>
          <t>Hệ thống có mục "Đính kèm hình ảnh". Dù không ghi bắt buộc cứng, nhưng việc đính kèm hình ảnh thực tế sự cố giúp kỹ thuật viên dễ dàng nhận diện và chuẩn bị linh kiện thay thế phù hợp.</t>
        </is>
      </c>
      <c r="F58" s="2" t="inlineStr">
        <is>
          <t>Hệ thống có mục "Đính kèm hình ảnh". Dù không ghi bắt buộc cứng, nhưng việc đính kèm hình ảnh thực tế sự cố giúp kỹ thuật viên dễ dàng nhận diện và chuẩn bị linh kiện thay thế phù hợp.; Từ khóa trọng tâm: đính kèm hình ảnh; ảnh chụp sự cố; minh chứng hỏng</t>
        </is>
      </c>
      <c r="G58" s="2" t="inlineStr">
        <is>
          <t>đính kèm hình ảnh, ảnh chụp sự cố, minh chứng hỏng</t>
        </is>
      </c>
      <c r="H58" s="2" t="inlineStr">
        <is>
          <t>trả lời không có căn cứ khi đáp án chuẩn có thông tin; nguồn không liên quan; sinh viên nếu câu hỏi chỉ dành cho CBGV; nguồn SV sai đối tượng</t>
        </is>
      </c>
    </row>
    <row r="59">
      <c r="A59" s="2" t="inlineStr">
        <is>
          <t>PCNTT058</t>
        </is>
      </c>
      <c r="B59" s="2" t="inlineStr">
        <is>
          <t>Sau khi nhập xong mô tả sự cố thiết bị, tôi làm gì để hoàn tất gửi yêu cầu?</t>
        </is>
      </c>
      <c r="C59" s="2" t="inlineStr">
        <is>
          <t>2026.03.25.AI_HDSD TREN WEB SUPPORT CBGV.docx</t>
        </is>
      </c>
      <c r="D59" s="2" t="inlineStr">
        <is>
          <t>II -&gt; 1 -&gt; 1.3 -&gt; Bước 4</t>
        </is>
      </c>
      <c r="E59" s="2" t="inlineStr">
        <is>
          <t>Bạn kiểm tra lại thông tin, tích chọn đúng thiết bị lỗi trong danh sách hiển thị phía dưới (nếu chọn theo cụ thể thiết bị) và nhấn nút "Gửi yêu cầu".</t>
        </is>
      </c>
      <c r="F59" s="2" t="inlineStr">
        <is>
          <t>Bạn kiểm tra lại thông tin, tích chọn đúng thiết bị lỗi trong danh sách hiển thị phía dưới (nếu chọn theo cụ thể thiết bị) và nhấn nút "Gửi yêu cầu".; Từ khóa trọng tâm: nút gửi yêu cầu; hoàn tất báo hỏng; gửi phiếu sửa chữa</t>
        </is>
      </c>
      <c r="G59" s="2" t="inlineStr">
        <is>
          <t>nút gửi yêu cầu, hoàn tất báo hỏng, gửi phiếu sửa chữa</t>
        </is>
      </c>
      <c r="H59" s="2" t="inlineStr">
        <is>
          <t>trả lời không có căn cứ khi đáp án chuẩn có thông tin; nguồn không liên quan; sinh viên nếu câu hỏi chỉ dành cho CBGV; nguồn SV sai đối tượng</t>
        </is>
      </c>
    </row>
    <row r="60">
      <c r="A60" s="2" t="inlineStr">
        <is>
          <t>PCNTT059</t>
        </is>
      </c>
      <c r="B60" s="2" t="inlineStr">
        <is>
          <t>Làm thế nào để giảng viên xem lại trạng thái các phiếu báo hỏng mình đã gửi?</t>
        </is>
      </c>
      <c r="C60" s="2" t="inlineStr">
        <is>
          <t>2026.03.25.AI_HDSD TREN WEB SUPPORT CBGV.docx</t>
        </is>
      </c>
      <c r="D60" s="2" t="inlineStr">
        <is>
          <t>II -&gt; 2 -&gt; 2.1</t>
        </is>
      </c>
      <c r="E60" s="2" t="inlineStr">
        <is>
          <t>Bạn truy cập menu "Quản lý thiết bị giảng đường" -&gt; Chọn chức năng "Danh sách yêu cầu báo hỏng" để theo dõi tiến độ xử lý của kỹ thuật viên.</t>
        </is>
      </c>
      <c r="F60" s="2" t="inlineStr">
        <is>
          <t>Bạn truy cập menu "Quản lý thiết bị giảng đường" -&gt; Chọn chức năng "Danh sách yêu cầu báo hỏng" để theo dõi tiến độ xử lý của kỹ thuật viên.; Từ khóa trọng tâm: xem tiến độ sửa chữa; danh sách phiếu báo hỏng; kiểm tra trạng thái</t>
        </is>
      </c>
      <c r="G60" s="2" t="inlineStr">
        <is>
          <t>xem tiến độ sửa chữa, danh sách phiếu báo hỏng, kiểm tra trạng thái</t>
        </is>
      </c>
      <c r="H60"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61">
      <c r="A61" s="2" t="inlineStr">
        <is>
          <t>PCNTT060</t>
        </is>
      </c>
      <c r="B61" s="2" t="inlineStr">
        <is>
          <t>Màn hình "Danh sách yêu cầu báo hỏng" hiển thị những thông tin quản lý nào?</t>
        </is>
      </c>
      <c r="C61" s="2" t="inlineStr">
        <is>
          <t>2026.03.25.AI_HDSD TREN WEB SUPPORT CBGV.docx</t>
        </is>
      </c>
      <c r="D61" s="2" t="inlineStr">
        <is>
          <t>II -&gt; 2 -&gt; 2.2</t>
        </is>
      </c>
      <c r="E61" s="2" t="inlineStr">
        <is>
          <t>Màn hình hiển thị: Mã yêu cầu, Ngày gửi, Vị trí phòng học, Nội dung sự cố, Người tiếp nhận xử lý và Trạng thái xử lý (Chờ tiếp nhận/Đang xử lý/Đã hoàn thành).</t>
        </is>
      </c>
      <c r="F61" s="2" t="inlineStr">
        <is>
          <t>Màn hình hiển thị: Mã yêu cầu, Ngày gửi, Vị trí phòng học, Nội dung sự cố, Người tiếp nhận xử lý và Trạng thái xử lý (Chờ tiếp nhận/Đang xử lý/Đã hoàn thành).; Từ khóa trọng tâm: người tiếp nhận; trạng thái xử lý; mã yêu cầu sửa chữa; ngày gửi</t>
        </is>
      </c>
      <c r="G61" s="2" t="inlineStr">
        <is>
          <t>người tiếp nhận, trạng thái xử lý, mã yêu cầu sửa chữa, ngày gửi</t>
        </is>
      </c>
      <c r="H61" s="2" t="inlineStr">
        <is>
          <t>trả lời không có căn cứ khi đáp án chuẩn có thông tin; nguồn không liên quan; sinh viên nếu câu hỏi chỉ dành cho CBGV; nguồn SV sai đối tượng</t>
        </is>
      </c>
    </row>
    <row r="62">
      <c r="A62" s="2" t="inlineStr">
        <is>
          <t>PCNTT061</t>
        </is>
      </c>
      <c r="B62" s="2" t="inlineStr">
        <is>
          <t>Chức năng "Thống kê một cửa" dành cho đối tượng cán bộ nào sử dụng?</t>
        </is>
      </c>
      <c r="C62" s="2" t="inlineStr">
        <is>
          <t>2026.03.25.AI_HDSD TREN WEB SUPPORT CBGV.docx</t>
        </is>
      </c>
      <c r="D62" s="2" t="inlineStr">
        <is>
          <t>III -&gt; 1 -&gt; 1.1</t>
        </is>
      </c>
      <c r="E62" s="2" t="inlineStr">
        <is>
          <t>Chức năng này dành cho Cán bộ quản lý hoặc Cán bộ được phân quyền nghiệp vụ để theo dõi, thống kê số liệu và đánh giá chất lượng giải quyết thủ tục hành chính của sinh viên.</t>
        </is>
      </c>
      <c r="F62" s="2" t="inlineStr">
        <is>
          <t>Chức năng này dành cho Cán bộ quản lý hoặc Cán bộ được phân quyền nghiệp vụ để theo dõi, thống kê số liệu và đánh giá chất lượng giải quyết thủ tục hành chính của sinh viên.; Từ khóa trọng tâm: cán bộ quản lý; theo dõi một cửa; phân quyền thống kê</t>
        </is>
      </c>
      <c r="G62" s="2" t="inlineStr">
        <is>
          <t>cán bộ quản lý, theo dõi một cửa, phân quyền thống kê</t>
        </is>
      </c>
      <c r="H62" s="2" t="inlineStr">
        <is>
          <t>trả lời không có căn cứ khi đáp án chuẩn có thông tin; nguồn không liên quan; sinh viên nếu câu hỏi chỉ dành cho CBGV; nguồn SV sai đối tượng</t>
        </is>
      </c>
    </row>
    <row r="63">
      <c r="A63" s="2" t="inlineStr">
        <is>
          <t>PCNTT062</t>
        </is>
      </c>
      <c r="B63" s="2" t="inlineStr">
        <is>
          <t>Chức năng "Thống kê một cửa" giúp cán bộ quản lý được những chỉ số gì?</t>
        </is>
      </c>
      <c r="C63" s="2" t="inlineStr">
        <is>
          <t>2026.03.25.AI_HDSD TREN WEB SUPPORT CBGV.docx</t>
        </is>
      </c>
      <c r="D63" s="2" t="inlineStr">
        <is>
          <t>III -&gt; 1 -&gt; 1.1</t>
        </is>
      </c>
      <c r="E63" s="2" t="inlineStr">
        <is>
          <t>Giúp theo dõi tổng số lượng hồ sơ tiếp nhận, tỷ lệ hồ sơ đã xử lý đúng hạn/quá hạn, số lượng hồ sơ chưa đánh giá và biểu đồ mức độ hài lòng của sinh viên.</t>
        </is>
      </c>
      <c r="F63" s="2" t="inlineStr">
        <is>
          <t>Giúp theo dõi tổng số lượng hồ sơ tiếp nhận, tỷ lệ hồ sơ đã xử lý đúng hạn/quá hạn, số lượng hồ sơ chưa đánh giá và biểu đồ mức độ hài lòng của sinh viên.; Từ khóa trọng tâm: tỷ lệ đúng hạn; hồ sơ quá hạn; chỉ số hài lòng; thống kê một cửa</t>
        </is>
      </c>
      <c r="G63" s="2" t="inlineStr">
        <is>
          <t>tỷ lệ đúng hạn, hồ sơ quá hạn, chỉ số hài lòng, thống kê một cửa</t>
        </is>
      </c>
      <c r="H63"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64">
      <c r="A64" s="2" t="inlineStr">
        <is>
          <t>PCNTT063</t>
        </is>
      </c>
      <c r="B64" s="2" t="inlineStr">
        <is>
          <t>Làm thế nào để truy cập vào màn hình Thống kê một cửa?</t>
        </is>
      </c>
      <c r="C64" s="2" t="inlineStr">
        <is>
          <t>2026.03.25.AI_HDSD TREN WEB SUPPORT CBGV.docx</t>
        </is>
      </c>
      <c r="D64" s="2" t="inlineStr">
        <is>
          <t>III -&gt; 1 -&gt; 1.2</t>
        </is>
      </c>
      <c r="E64" s="2" t="inlineStr">
        <is>
          <t>Đăng nhập hệ thống support, chọn menu "Thống kê một cửa" hoặc truy cập trực tiếp qua đường dẫn do phân hệ quản lý cung cấp.</t>
        </is>
      </c>
      <c r="F64" s="2" t="inlineStr">
        <is>
          <t>Đăng nhập hệ thống support, chọn menu "Thống kê một cửa" hoặc truy cập trực tiếp qua đường dẫn do phân hệ quản lý cung cấp.; Từ khóa trọng tâm: link thống kê một cửa; menu một cửa cán bộ</t>
        </is>
      </c>
      <c r="G64" s="2" t="inlineStr">
        <is>
          <t>link thống kê một cửa, menu một cửa cán bộ</t>
        </is>
      </c>
      <c r="H64"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65">
      <c r="A65" s="2" t="inlineStr">
        <is>
          <t>PCNTT064</t>
        </is>
      </c>
      <c r="B65" s="2" t="inlineStr">
        <is>
          <t>Tôi có thể lọc dữ liệu thống kê một cửa theo những tiêu chí nào để xem báo cáo?</t>
        </is>
      </c>
      <c r="C65" s="2" t="inlineStr">
        <is>
          <t>2026.03.25.AI_HDSD TREN WEB SUPPORT CBGV.docx</t>
        </is>
      </c>
      <c r="D65" s="2" t="inlineStr">
        <is>
          <t>III -&gt; 1 -&gt; 1.3 -&gt; a</t>
        </is>
      </c>
      <c r="E65" s="2" t="inlineStr">
        <is>
          <t>Bạn có thể lọc theo: Từ ngày - Đến ngày (Khoảng thời gian), Tên nhóm thủ tục (Ví dụ: Đào tạo, CTSV), Tên cụ thể loại thủ tục, Khoa, Ngành học hoặc Khóa học của sinh viên.</t>
        </is>
      </c>
      <c r="F65" s="2" t="inlineStr">
        <is>
          <t>Bạn có thể lọc theo: Từ ngày - Đến ngày (Khoảng thời gian), Tên nhóm thủ tục (Ví dụ: Đào tạo, CTSV), Tên cụ thể loại thủ tục, Khoa, Ngành học hoặc Khóa học của sinh viên.; Từ khóa trọng tâm: bộ lọc dữ liệu; lọc theo ngày; lọc theo khoa; chọn khóa học</t>
        </is>
      </c>
      <c r="G65" s="2" t="inlineStr">
        <is>
          <t>bộ lọc dữ liệu, lọc theo ngày, lọc theo khoa, chọn khóa học</t>
        </is>
      </c>
      <c r="H65"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66">
      <c r="A66" s="2" t="inlineStr">
        <is>
          <t>PCNTT065</t>
        </is>
      </c>
      <c r="B66" s="2" t="inlineStr">
        <is>
          <t>Sau khi thiết lập các điều kiện lọc dữ liệu một cửa, tôi phải ấn nút nào để xem kết quả?</t>
        </is>
      </c>
      <c r="C66" s="2" t="inlineStr">
        <is>
          <t>2026.03.25.AI_HDSD TREN WEB SUPPORT CBGV.docx</t>
        </is>
      </c>
      <c r="D66" s="2" t="inlineStr">
        <is>
          <t>III -&gt; 1 -&gt; 1.3 -&gt; a</t>
        </is>
      </c>
      <c r="E66" s="2" t="inlineStr">
        <is>
          <t>Sau khi chọn xong các điều kiện tại bộ lọc, bạn bắt buộc phải nhấn nút "Tìm kiếm" để hệ thống cập nhật và hiển thị số liệu mới tương ứng.</t>
        </is>
      </c>
      <c r="F66" s="2" t="inlineStr">
        <is>
          <t>Sau khi chọn xong các điều kiện tại bộ lọc, bạn bắt buộc phải nhấn nút "Tìm kiếm" để hệ thống cập nhật và hiển thị số liệu mới tương ứng.; Từ khóa trọng tâm: nút tìm kiếm; cập nhật số liệu; áp dụng bộ lọc</t>
        </is>
      </c>
      <c r="G66" s="2" t="inlineStr">
        <is>
          <t>nút tìm kiếm, cập nhật số liệu, áp dụng bộ lọc</t>
        </is>
      </c>
      <c r="H66"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67">
      <c r="A67" s="2" t="inlineStr">
        <is>
          <t>PCNTT066</t>
        </is>
      </c>
      <c r="B67" s="2" t="inlineStr">
        <is>
          <t>Làm cách nào để hủy bỏ các điều kiện lọc và đưa dữ liệu thống kê về trạng thái ban đầu?</t>
        </is>
      </c>
      <c r="C67" s="2" t="inlineStr">
        <is>
          <t>2026.03.25.AI_HDSD TREN WEB SUPPORT CBGV.docx</t>
        </is>
      </c>
      <c r="D67" s="2" t="inlineStr">
        <is>
          <t>III -&gt; 1 -&gt; 1.3 -&gt; a</t>
        </is>
      </c>
      <c r="E67" s="2" t="inlineStr">
        <is>
          <t>Bạn chỉ cần nhấn vào nút "Xóa lọc" (hoặc Đặt lại), hệ thống sẽ tự động xóa các tiêu chí đã chọn và đưa bảng thống kê về trạng thái mặc định toàn trường.</t>
        </is>
      </c>
      <c r="F67" s="2" t="inlineStr">
        <is>
          <t>Bạn chỉ cần nhấn vào nút "Xóa lọc" (hoặc Đặt lại), hệ thống sẽ tự động xóa các tiêu chí đã chọn và đưa bảng thống kê về trạng thái mặc định toàn trường.; Từ khóa trọng tâm: xóa lọc; đặt lại bộ lọc; hủy bộ lọc; xem mặc định</t>
        </is>
      </c>
      <c r="G67" s="2" t="inlineStr">
        <is>
          <t>xóa lọc, đặt lại bộ lọc, hủy bộ lọc, xem mặc định</t>
        </is>
      </c>
      <c r="H67"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68">
      <c r="A68" s="2" t="inlineStr">
        <is>
          <t>PCNTT067</t>
        </is>
      </c>
      <c r="B68" s="2" t="inlineStr">
        <is>
          <t>"Biểu đồ mức độ hài lòng của sinh viên" trong Thống kê một cửa hiển thị những mức đánh giá nào?</t>
        </is>
      </c>
      <c r="C68" s="2" t="inlineStr">
        <is>
          <t>2026.03.25.AI_HDSD TREN WEB SUPPORT CBGV.docx</t>
        </is>
      </c>
      <c r="D68" s="2" t="inlineStr">
        <is>
          <t>III -&gt; 1 -&gt; 1.3 -&gt; b</t>
        </is>
      </c>
      <c r="E68" s="2" t="inlineStr">
        <is>
          <t>Biểu đồ tổng hợp tự động 4 mức độ đánh giá từ sinh viên sau khi nhận kết quả thủ tục, bao gồm: Rất hài lòng, Hài lòng, Bình thường, và Không hài lòng.</t>
        </is>
      </c>
      <c r="F68" s="2" t="inlineStr">
        <is>
          <t>Biểu đồ tổng hợp tự động 4 mức độ đánh giá từ sinh viên sau khi nhận kết quả thủ tục, bao gồm: Rất hài lòng, Hài lòng, Bình thường, và Không hài lòng.; Từ khóa trọng tâm: đánh giá sinh viên; rất hài lòng; không hài lòng; biểu đồ đánh giá</t>
        </is>
      </c>
      <c r="G68" s="2" t="inlineStr">
        <is>
          <t>đánh giá sinh viên, rất hài lòng, không hài lòng, biểu đồ đánh giá</t>
        </is>
      </c>
      <c r="H68" s="2" t="inlineStr">
        <is>
          <t>trả lời không có căn cứ khi đáp án chuẩn có thông tin; nguồn không liên quan; sinh viên nếu câu hỏi chỉ dành cho CBGV; nguồn SV sai đối tượng</t>
        </is>
      </c>
    </row>
    <row r="69">
      <c r="A69" s="2" t="inlineStr">
        <is>
          <t>PCNTT068</t>
        </is>
      </c>
      <c r="B69" s="2" t="inlineStr">
        <is>
          <t>Biểu đồ mức độ hài lòng của sinh viên có tự động thay đổi theo bộ lọc không?</t>
        </is>
      </c>
      <c r="C69" s="2" t="inlineStr">
        <is>
          <t>2026.03.25.AI_HDSD TREN WEB SUPPORT CBGV.docx</t>
        </is>
      </c>
      <c r="D69" s="2" t="inlineStr">
        <is>
          <t>III -&gt; 1 -&gt; 1.3 -&gt; b</t>
        </is>
      </c>
      <c r="E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F69" s="2" t="inlineStr">
        <is>
          <t>Có. Khi cán bộ thay đổi bộ lọc (Ví dụ chọn Khoa CNTT hoặc một thủ tục cụ thể), biểu đồ sẽ tự động cập nhật số liệu tương ứng để đánh giá chất lượng theo từng giai đoạn hoặc đơn vị.; Từ khóa trọng tâm: cập nhật biểu đồ; chất lượng xử lý theo khoa; tự động cập nhật</t>
        </is>
      </c>
      <c r="G69" s="2" t="inlineStr">
        <is>
          <t>cập nhật biểu đồ, chất lượng xử lý theo khoa, tự động cập nhật</t>
        </is>
      </c>
      <c r="H69" s="2" t="inlineStr">
        <is>
          <t>trả lời không có căn cứ khi đáp án chuẩn có thông tin; nguồn không liên quan; sinh viên nếu câu hỏi chỉ dành cho CBGV; nguồn SV sai đối tượng</t>
        </is>
      </c>
    </row>
    <row r="70">
      <c r="A70" s="2" t="inlineStr">
        <is>
          <t>PCNTT069</t>
        </is>
      </c>
      <c r="B70" s="2" t="inlineStr">
        <is>
          <t>Bảng thống kê thủ tục hành chính một cửa hiển thị chi tiết những cột thông tin nào?</t>
        </is>
      </c>
      <c r="C70" s="2" t="inlineStr">
        <is>
          <t>2026.03.25.AI_HDSD TREN WEB SUPPORT CBGV.docx</t>
        </is>
      </c>
      <c r="D70" s="2" t="inlineStr">
        <is>
          <t>III -&gt; 1 -&gt; 1.3 -&gt; c</t>
        </is>
      </c>
      <c r="E70" s="2" t="inlineStr">
        <is>
          <t>Hiển thị chi tiết theo từng loại thủ tục, gồm: Tên thủ tục, Tổng số lượng đề nghị, Số lượng đã đánh giá và Số lượng chưa đánh giá.</t>
        </is>
      </c>
      <c r="F70" s="2" t="inlineStr">
        <is>
          <t>Hiển thị chi tiết theo từng loại thủ tục, gồm: Tên thủ tục, Tổng số lượng đề nghị, Số lượng đã đánh giá và Số lượng chưa đánh giá.; Từ khóa trọng tâm: số lượng đề nghị; số lượng đã đánh giá; cột thông tin thống kê</t>
        </is>
      </c>
      <c r="G70" s="2" t="inlineStr">
        <is>
          <t>số lượng đề nghị, số lượng đã đánh giá, cột thông tin thống kê</t>
        </is>
      </c>
      <c r="H70"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71">
      <c r="A71" s="2" t="inlineStr">
        <is>
          <t>PCNTT070</t>
        </is>
      </c>
      <c r="B71" s="2" t="inlineStr">
        <is>
          <t>Trên bảng thống kê, số lượng hồ sơ "đã đánh giá" và "chưa đánh giá" được phân biệt màu sắc như thế nào?</t>
        </is>
      </c>
      <c r="C71" s="2" t="inlineStr">
        <is>
          <t>2026.03.25.AI_HDSD TREN WEB SUPPORT CBGV.docx</t>
        </is>
      </c>
      <c r="D71" s="2" t="inlineStr">
        <is>
          <t>III -&gt; 1 -&gt; 1.3 -&gt; c</t>
        </is>
      </c>
      <c r="E71" s="2" t="inlineStr">
        <is>
          <t>Để dễ nhận diện trực quan: Số lượng hồ sơ đã đánh giá sẽ hiển thị màu xanh, còn số lượng hồ sơ chưa đánh giá sẽ hiển thị màu đỏ.</t>
        </is>
      </c>
      <c r="F71" s="2" t="inlineStr">
        <is>
          <t>Để dễ nhận diện trực quan: Số lượng hồ sơ đã đánh giá sẽ hiển thị màu xanh, còn số lượng hồ sơ chưa đánh giá sẽ hiển thị màu đỏ.; Từ khóa trọng tâm: phân biệt màu sắc; hiển thị màu xanh; hiển thị màu đỏ</t>
        </is>
      </c>
      <c r="G71" s="2" t="inlineStr">
        <is>
          <t>phân biệt màu sắc, hiển thị màu xanh, hiển thị màu đỏ</t>
        </is>
      </c>
      <c r="H71"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72">
      <c r="A72" s="2" t="inlineStr">
        <is>
          <t>PCNTT071</t>
        </is>
      </c>
      <c r="B72" s="2" t="inlineStr">
        <is>
          <t>Làm thế nào để tìm nhanh một thủ tục cụ thể trong bảng thống kê có quá nhiều dòng?</t>
        </is>
      </c>
      <c r="C72" s="2" t="inlineStr">
        <is>
          <t>2026.03.25.AI_HDSD TREN WEB SUPPORT CBGV.docx</t>
        </is>
      </c>
      <c r="D72" s="2" t="inlineStr">
        <is>
          <t>III -&gt; 1 -&gt; 1.3 -&gt; c</t>
        </is>
      </c>
      <c r="E72" s="2" t="inlineStr">
        <is>
          <t>Bạn có thể sử dụng ô "Tìm nhóm" hoặc ô "Tìm tên yêu cầu" nằm ngay phía trên bảng để gõ từ khóa lọc nhanh thủ tục cần theo dõi.</t>
        </is>
      </c>
      <c r="F72" s="2" t="inlineStr">
        <is>
          <t>Bạn có thể sử dụng ô "Tìm nhóm" hoặc ô "Tìm tên yêu cầu" nằm ngay phía trên bảng để gõ từ khóa lọc nhanh thủ tục cần theo dõi.; Từ khóa trọng tâm: tìm nhóm; tìm tên yêu cầu; gõ từ khóa lọc nhanh</t>
        </is>
      </c>
      <c r="G72" s="2" t="inlineStr">
        <is>
          <t>tìm nhóm, tìm tên yêu cầu, gõ từ khóa lọc nhanh</t>
        </is>
      </c>
      <c r="H72"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73">
      <c r="A73" s="2" t="inlineStr">
        <is>
          <t>PCNTT072</t>
        </is>
      </c>
      <c r="B73" s="2" t="inlineStr">
        <is>
          <t>Làm thế nào để xem danh sách chi tiết các hồ sơ thuộc một thủ tục hành chính cụ thể?</t>
        </is>
      </c>
      <c r="C73" s="2" t="inlineStr">
        <is>
          <t>2026.03.25.AI_HDSD TREN WEB SUPPORT CBGV.docx</t>
        </is>
      </c>
      <c r="D73" s="2" t="inlineStr">
        <is>
          <t>III -&gt; 1 -&gt; 1.3 -&gt; d</t>
        </is>
      </c>
      <c r="E73" s="2" t="inlineStr">
        <is>
          <t>Tại dòng chứa thủ tục cần xem trên bảng thống kê, bạn nhấn vào nút "Xem chi tiết" tại cột thao tác. Hệ thống sẽ mở ra danh sách hồ sơ chi tiết của riêng thủ tục đó.</t>
        </is>
      </c>
      <c r="F73" s="2" t="inlineStr">
        <is>
          <t>Tại dòng chứa thủ tục cần xem trên bảng thống kê, bạn nhấn vào nút "Xem chi tiết" tại cột thao tác. Hệ thống sẽ mở ra danh sách hồ sơ chi tiết của riêng thủ tục đó.; Từ khóa trọng tâm: nút xem chi tiết; mở danh sách hồ sơ; cột thao tác</t>
        </is>
      </c>
      <c r="G73" s="2" t="inlineStr">
        <is>
          <t>nút xem chi tiết, mở danh sách hồ sơ, cột thao tác</t>
        </is>
      </c>
      <c r="H73"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74">
      <c r="A74" s="2" t="inlineStr">
        <is>
          <t>PCNTT073</t>
        </is>
      </c>
      <c r="B74" s="2" t="inlineStr">
        <is>
          <t>Tôi muốn tải toàn bộ dữ liệu thống kê một cửa dưới dạng file Excel thì làm thế nào?</t>
        </is>
      </c>
      <c r="C74" s="2" t="inlineStr">
        <is>
          <t>2026.03.25.AI_HDSD TREN WEB SUPPORT CBGV.docx</t>
        </is>
      </c>
      <c r="D74" s="2" t="inlineStr">
        <is>
          <t>III -&gt; 1 -&gt; 1.3 -&gt; e</t>
        </is>
      </c>
      <c r="E74" s="2" t="inlineStr">
        <is>
          <t>Bạn chỉ cần nhấn vào nút "Xuất Excel" trên giao diện màn hình. Hệ thống sẽ tự động xuất và tải xuống máy tính file báo cáo định dạng Excel chứa toàn bộ số liệu thống kê.</t>
        </is>
      </c>
      <c r="F74" s="2" t="inlineStr">
        <is>
          <t>Bạn chỉ cần nhấn vào nút "Xuất Excel" trên giao diện màn hình. Hệ thống sẽ tự động xuất và tải xuống máy tính file báo cáo định dạng Excel chứa toàn bộ số liệu thống kê.; Từ khóa trọng tâm: xuất excel; tải file excel báo cáo; download file thống kê</t>
        </is>
      </c>
      <c r="G74" s="2" t="inlineStr">
        <is>
          <t>xuất excel, tải file excel báo cáo, download file thống kê</t>
        </is>
      </c>
      <c r="H74"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75">
      <c r="A75" s="2" t="inlineStr">
        <is>
          <t>PCNTT074</t>
        </is>
      </c>
      <c r="B75" s="2" t="inlineStr">
        <is>
          <t>Giảng viên đăng nhập vào hệ thống UNETI Online bằng tài khoản nào?</t>
        </is>
      </c>
      <c r="C75" s="2" t="inlineStr">
        <is>
          <t>2026.03.25.AI_HDSD TREN WEB SUPPORT CBGV.docx</t>
        </is>
      </c>
      <c r="D75" s="2" t="inlineStr">
        <is>
          <t>I -&gt; 1 -&gt; 1.2</t>
        </is>
      </c>
      <c r="E75" s="2" t="inlineStr">
        <is>
          <t>Giảng viên sử dụng tài khoản cán bộ cá nhân do Nhà trường cấp để đăng nhập và sử dụng hệ thống tại đường dẫn: https://support.uneti.edu.vn.</t>
        </is>
      </c>
      <c r="F75" s="2" t="inlineStr">
        <is>
          <t>Giảng viên sử dụng tài khoản cán bộ cá nhân do Nhà trường cấp để đăng nhập và sử dụng hệ thống tại đường dẫn: https://support.uneti.edu.vn.; Từ khóa trọng tâm: tài khoản giảng viên; đăng nhập cbgv; link hệ thống</t>
        </is>
      </c>
      <c r="G75" s="2" t="inlineStr">
        <is>
          <t>tài khoản giảng viên, đăng nhập cbgv, link hệ thống</t>
        </is>
      </c>
      <c r="H75" s="2" t="inlineStr">
        <is>
          <t>trả lời không có căn cứ khi đáp án chuẩn có thông tin; nguồn không liên quan; sinh viên nếu câu hỏi chỉ dành cho CBGV; nguồn SV sai đối tượng</t>
        </is>
      </c>
    </row>
    <row r="76">
      <c r="A76" s="2" t="inlineStr">
        <is>
          <t>PCNTT075</t>
        </is>
      </c>
      <c r="B76" s="2" t="inlineStr">
        <is>
          <t>Sinh viên có thể nhìn thấy module "Công tác giảng viên" trên tài khoản của mình không?</t>
        </is>
      </c>
      <c r="C76" s="2" t="inlineStr">
        <is>
          <t>2026.03.25.AI_HDSD TREN WEB SUPPORT CBGV.docx</t>
        </is>
      </c>
      <c r="D76" s="2" t="inlineStr">
        <is>
          <t>I -&gt; 1 -&gt; 1.1</t>
        </is>
      </c>
      <c r="E76" s="2" t="inlineStr">
        <is>
          <t>Không. Module "Công tác giảng viên" được phân quyền bảo mật, chỉ hiển thị duy nhất trên giao diện tài khoản của Cán bộ, Giảng viên; hoàn toàn ẩn đối với tài khoản sinh viên.</t>
        </is>
      </c>
      <c r="F76" s="2" t="inlineStr">
        <is>
          <t>Không. Module "Công tác giảng viên" được phân quyền bảo mật, chỉ hiển thị duy nhất trên giao diện tài khoản của Cán bộ, Giảng viên; hoàn toàn ẩn đối với tài khoản sinh viên.; Từ khóa trọng tâm: sinh viên xem công tác giảng viên; ẩn tính năng; phân quyền bảo mật</t>
        </is>
      </c>
      <c r="G76" s="2" t="inlineStr">
        <is>
          <t>sinh viên xem công tác giảng viên, ẩn tính năng, phân quyền bảo mật</t>
        </is>
      </c>
      <c r="H76" s="2" t="inlineStr">
        <is>
          <t>trả lời không có căn cứ khi đáp án chuẩn có thông tin; nguồn không liên quan; sinh viên nếu câu hỏi chỉ dành cho CBGV; nguồn SV sai đối tượng</t>
        </is>
      </c>
    </row>
    <row r="77">
      <c r="A77" s="2" t="inlineStr">
        <is>
          <t>PCNTT076</t>
        </is>
      </c>
      <c r="B77" s="2" t="inlineStr">
        <is>
          <t>Tại màn hình Khối lượng công tác, làm sao để chuyển đổi xem số liệu giữa các năm học khác nhau?</t>
        </is>
      </c>
      <c r="C77" s="2" t="inlineStr">
        <is>
          <t>2026.03.25.AI_HDSD TREN WEB SUPPORT CBGV.docx</t>
        </is>
      </c>
      <c r="D77" s="2" t="inlineStr">
        <is>
          <t>I -&gt; 1 -&gt; 1.3</t>
        </is>
      </c>
      <c r="E77" s="2" t="inlineStr">
        <is>
          <t>Ngay phía trên góc màn hình có bộ chọn "Năm học" và "Học kỳ". Bạn nhấn chọn năm học/học kỳ cần tra cứu, hệ thống sẽ tự động tải lại dữ liệu tương ứng.</t>
        </is>
      </c>
      <c r="F77" s="2" t="inlineStr">
        <is>
          <t>Ngay phía trên góc màn hình có bộ chọn "Năm học" và "Học kỳ". Bạn nhấn chọn năm học/học kỳ cần tra cứu, hệ thống sẽ tự động tải lại dữ liệu tương ứng.; Từ khóa trọng tâm: chọn năm học; chọn học kỳ; đổi năm học tra cứu</t>
        </is>
      </c>
      <c r="G77" s="2" t="inlineStr">
        <is>
          <t>chọn năm học, chọn học kỳ, đổi năm học tra cứu</t>
        </is>
      </c>
      <c r="H77"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78">
      <c r="A78" s="2" t="inlineStr">
        <is>
          <t>PCNTT077</t>
        </is>
      </c>
      <c r="B78" s="2" t="inlineStr">
        <is>
          <t>Làm thế nào để nhận biết dữ liệu giảng dạy của một lớp học phần đã được đồng bộ lên hệ thống?</t>
        </is>
      </c>
      <c r="C78" s="2" t="inlineStr">
        <is>
          <t>2026.03.25.AI_HDSD TREN WEB SUPPORT CBGV.docx</t>
        </is>
      </c>
      <c r="D78" s="2" t="inlineStr">
        <is>
          <t>I -&gt; 1 -&gt; 1.3 -&gt; b</t>
        </is>
      </c>
      <c r="E78" s="2" t="inlineStr">
        <is>
          <t>Tại màn hình Lớp học phần, giảng viên kiểm tra cột "Trạng thái đồng bộ dữ liệu". Nếu ghi nhận thành công, nghĩa là số liệu thời khóa biểu và sĩ số đã được khớp nối.</t>
        </is>
      </c>
      <c r="F78" s="2" t="inlineStr">
        <is>
          <t>Tại màn hình Lớp học phần, giảng viên kiểm tra cột "Trạng thái đồng bộ dữ liệu". Nếu ghi nhận thành công, nghĩa là số liệu thời khóa biểu và sĩ số đã được khớp nối.; Từ khóa trọng tâm: trạng thái đồng bộ; đồng bộ dữ liệu lớp học</t>
        </is>
      </c>
      <c r="G78" s="2" t="inlineStr">
        <is>
          <t>trạng thái đồng bộ, đồng bộ dữ liệu lớp học</t>
        </is>
      </c>
      <c r="H78" s="2" t="inlineStr">
        <is>
          <t>trả lời không có căn cứ khi đáp án chuẩn có thông tin; nguồn không liên quan; sinh viên nếu câu hỏi chỉ dành cho CBGV; nguồn SV sai đối tượng; trả lời quy chế chung nhưng không nêu thao tác hệ thống</t>
        </is>
      </c>
    </row>
    <row r="79">
      <c r="A79" s="2" t="inlineStr">
        <is>
          <t>PCNTT078</t>
        </is>
      </c>
      <c r="B79" s="2" t="inlineStr">
        <is>
          <t>Tôi có thể báo hỏng nhiều thiết bị trong cùng một phòng học trên một phiếu không?</t>
        </is>
      </c>
      <c r="C79" s="2" t="inlineStr">
        <is>
          <t>2026.03.25.AI_HDSD TREN WEB SUPPORT CBGV.docx</t>
        </is>
      </c>
      <c r="D79" s="2" t="inlineStr">
        <is>
          <t>II -&gt; 1 -&gt; 1.3 -&gt; Bước 4</t>
        </is>
      </c>
      <c r="E79" s="2" t="inlineStr">
        <is>
          <t>Có, tại bước chọn thiết bị cụ thể ở Bước 4, bạn có thể tích chọn nhiều thiết bị xảy ra hiện tượng hỏng hóc trong phòng đó trước khi nhấn nút "Gửi yêu cầu".</t>
        </is>
      </c>
      <c r="F79" s="2" t="inlineStr">
        <is>
          <t>Có, tại bước chọn thiết bị cụ thể ở Bước 4, bạn có thể tích chọn nhiều thiết bị xảy ra hiện tượng hỏng hóc trong phòng đó trước khi nhấn nút "Gửi yêu cầu".; Từ khóa trọng tâm: báo hỏng nhiều thiết bị; tích chọn nhiều thiết bị lỗi</t>
        </is>
      </c>
      <c r="G79" s="2" t="inlineStr">
        <is>
          <t>báo hỏng nhiều thiết bị, tích chọn nhiều thiết bị lỗi</t>
        </is>
      </c>
      <c r="H79" s="2" t="inlineStr">
        <is>
          <t>trả lời không có căn cứ khi đáp án chuẩn có thông tin; nguồn không liên quan; sinh viên nếu câu hỏi chỉ dành cho CBGV; nguồn SV sai đối tượng</t>
        </is>
      </c>
    </row>
    <row r="80">
      <c r="A80" s="2" t="inlineStr">
        <is>
          <t>PCNTT079</t>
        </is>
      </c>
      <c r="B80" s="2" t="inlineStr">
        <is>
          <t>Sau khi xuất file báo cáo một cửa ra Excel, file này hiển thị những gì?</t>
        </is>
      </c>
      <c r="C80" s="2" t="inlineStr">
        <is>
          <t>2026.03.25.AI_HDSD TREN WEB SUPPORT CBGV.docx</t>
        </is>
      </c>
      <c r="D80" s="2" t="inlineStr">
        <is>
          <t>III -&gt; 1 -&gt; 1.3 -&gt; e</t>
        </is>
      </c>
      <c r="E80" s="2" t="inlineStr">
        <is>
          <t>File Excel tải xuống sẽ chứa toàn bộ dữ liệu bảng thống kê bao gồm tên các thủ tục, tổng số lượt đề nghị, số lượng đã/chưa đánh giá đúng theo các tiêu chí bộ lọc.</t>
        </is>
      </c>
      <c r="F80" s="2" t="inlineStr">
        <is>
          <t>File Excel tải xuống sẽ chứa toàn bộ dữ liệu bảng thống kê bao gồm tên các thủ tục, tổng số lượt đề nghị, số lượng đã/chưa đánh giá đúng theo các tiêu chí bộ lọc.; Từ khóa trọng tâm: định dạng file tải xuống; dữ liệu file excel một cửa</t>
        </is>
      </c>
      <c r="G80" s="2" t="inlineStr">
        <is>
          <t>định dạng file tải xuống, dữ liệu file excel một cửa</t>
        </is>
      </c>
      <c r="H80" s="2" t="inlineStr">
        <is>
          <t>trả lời không có căn cứ khi đáp án chuẩn có thông tin; nguồn không liên quan; sinh viên nếu câu hỏi chỉ dành cho CBGV; nguồn SV sai đối tượng</t>
        </is>
      </c>
    </row>
    <row r="81">
      <c r="A81" s="2" t="inlineStr">
        <is>
          <t>PCNTT080</t>
        </is>
      </c>
      <c r="B81" s="2" t="inlineStr">
        <is>
          <t>Cán bộ quản lý có thể xem thống kê một cửa của một Khoa cụ thể trong trường không?</t>
        </is>
      </c>
      <c r="C81" s="2" t="inlineStr">
        <is>
          <t>2026.03.25.AI_HDSD TREN WEB SUPPORT CBGV.docx</t>
        </is>
      </c>
      <c r="D81" s="2" t="inlineStr">
        <is>
          <t>III -&gt; 1 -&gt; 1.3 -&gt; a</t>
        </is>
      </c>
      <c r="E81" s="2" t="inlineStr">
        <is>
          <t>Có, bằng cách sử dụng bộ lọc, chọn tên Khoa cần xem (Ví dụ: Khoa Công nghệ thông tin) rồi bấm "Tìm kiếm", toàn bộ bảng số liệu và biểu đồ hài lòng sẽ chỉ hiển thị riêng cho Khoa đó.</t>
        </is>
      </c>
      <c r="F81" s="2" t="inlineStr">
        <is>
          <t>Có, bằng cách sử dụng bộ lọc, chọn tên Khoa cần xem (Ví dụ: Khoa Công nghệ thông tin) rồi bấm "Tìm kiếm", toàn bộ bảng số liệu và biểu đồ hài lòng sẽ chỉ hiển thị riêng cho Khoa đó.; Từ khóa trọng tâm: thống kê theo khoa; xem số liệu khoa; lọc dữ liệu khoa</t>
        </is>
      </c>
      <c r="G81" s="2" t="inlineStr">
        <is>
          <t>thống kê theo khoa, xem số liệu khoa, lọc dữ liệu khoa</t>
        </is>
      </c>
      <c r="H81" s="2" t="inlineStr">
        <is>
          <t>trả lời không có căn cứ khi đáp án chuẩn có thông tin; nguồn không liên quan; sinh viên nếu câu hỏi chỉ dành cho CBGV; nguồn SV sai đối tượng; trả lời quy chế chung nhưng không nêu thao tác hệ thống</t>
        </is>
      </c>
    </row>
  </sheetData>
  <autoFilter ref="A1:H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42" customWidth="1" min="3" max="3"/>
    <col width="24" customWidth="1" min="4" max="4"/>
    <col width="60" customWidth="1" min="5" max="5"/>
    <col width="50" customWidth="1" min="6" max="6"/>
    <col width="38" customWidth="1" min="7" max="7"/>
    <col width="38" customWidth="1" min="8" max="8"/>
    <col width="60" customWidth="1" min="9" max="9"/>
    <col width="35" customWidth="1" min="10" max="10"/>
    <col width="24" customWidth="1" min="11" max="11"/>
    <col width="28" customWidth="1" min="12" max="12"/>
    <col width="18" customWidth="1" min="13" max="13"/>
    <col width="21" customWidth="1" min="14" max="14"/>
    <col width="23" customWidth="1" min="15" max="15"/>
    <col width="17" customWidth="1" min="16" max="16"/>
    <col width="38" customWidth="1" min="17" max="17"/>
    <col width="60" customWidth="1" min="18" max="18"/>
    <col width="35" customWidth="1" min="19" max="19"/>
    <col width="24" customWidth="1" min="20" max="20"/>
    <col width="28" customWidth="1" min="21" max="21"/>
    <col width="18" customWidth="1" min="22" max="22"/>
    <col width="21" customWidth="1" min="23" max="23"/>
    <col width="23" customWidth="1" min="24" max="24"/>
    <col width="17" customWidth="1" min="25" max="25"/>
    <col width="38" customWidth="1" min="26" max="26"/>
    <col width="15" customWidth="1" min="27" max="27"/>
    <col width="12" customWidth="1" min="28" max="28"/>
    <col width="30" customWidth="1" min="29" max="29"/>
  </cols>
  <sheetData>
    <row r="1">
      <c r="A1" s="3" t="inlineStr">
        <is>
          <t>ID</t>
        </is>
      </c>
      <c r="B1" s="3" t="inlineStr">
        <is>
          <t>Câu hỏi test</t>
        </is>
      </c>
      <c r="C1" s="3" t="inlineStr">
        <is>
          <t>Nguồn đúng mong đợi</t>
        </is>
      </c>
      <c r="D1" s="3" t="inlineStr">
        <is>
          <t>Vị trí căn cứ</t>
        </is>
      </c>
      <c r="E1" s="3" t="inlineStr">
        <is>
          <t>Đáp án chuẩn rút gọn</t>
        </is>
      </c>
      <c r="F1" s="3" t="inlineStr">
        <is>
          <t>Ý bắt buộc phải có</t>
        </is>
      </c>
      <c r="G1" s="3" t="inlineStr">
        <is>
          <t>Keyword bắt buộc</t>
        </is>
      </c>
      <c r="H1" s="3" t="inlineStr">
        <is>
          <t>Keyword cấm</t>
        </is>
      </c>
      <c r="I1" s="3" t="inlineStr">
        <is>
          <t>Bot 1 - Câu trả lời</t>
        </is>
      </c>
      <c r="J1" s="3" t="inlineStr">
        <is>
          <t>Bot 1 - Nguồn</t>
        </is>
      </c>
      <c r="K1" s="3" t="inlineStr">
        <is>
          <t>Bot 1 đúng nguồn (0-3)</t>
        </is>
      </c>
      <c r="L1" s="3" t="inlineStr">
        <is>
          <t>Bot 1 đúng trọng tâm (0-3)</t>
        </is>
      </c>
      <c r="M1" s="3" t="inlineStr">
        <is>
          <t>Bot 1 đủ ý (0-2)</t>
        </is>
      </c>
      <c r="N1" s="3" t="inlineStr">
        <is>
          <t>Bot 1 dễ hiểu (0-1)</t>
        </is>
      </c>
      <c r="O1" s="3" t="inlineStr">
        <is>
          <t>Bot 1 không bịa (0-1)</t>
        </is>
      </c>
      <c r="P1" s="3" t="inlineStr">
        <is>
          <t>Bot 1 tổng điểm</t>
        </is>
      </c>
      <c r="Q1" s="3" t="inlineStr">
        <is>
          <t>Bot 1 nhận xét lỗi</t>
        </is>
      </c>
      <c r="R1" s="3" t="inlineStr">
        <is>
          <t>Bot 2 - Câu trả lời</t>
        </is>
      </c>
      <c r="S1" s="3" t="inlineStr">
        <is>
          <t>Bot 2 - Nguồn</t>
        </is>
      </c>
      <c r="T1" s="3" t="inlineStr">
        <is>
          <t>Bot 2 đúng nguồn (0-3)</t>
        </is>
      </c>
      <c r="U1" s="3" t="inlineStr">
        <is>
          <t>Bot 2 đúng trọng tâm (0-3)</t>
        </is>
      </c>
      <c r="V1" s="3" t="inlineStr">
        <is>
          <t>Bot 2 đủ ý (0-2)</t>
        </is>
      </c>
      <c r="W1" s="3" t="inlineStr">
        <is>
          <t>Bot 2 dễ hiểu (0-1)</t>
        </is>
      </c>
      <c r="X1" s="3" t="inlineStr">
        <is>
          <t>Bot 2 không bịa (0-1)</t>
        </is>
      </c>
      <c r="Y1" s="3" t="inlineStr">
        <is>
          <t>Bot 2 tổng điểm</t>
        </is>
      </c>
      <c r="Z1" s="3" t="inlineStr">
        <is>
          <t>Bot 2 nhận xét lỗi</t>
        </is>
      </c>
      <c r="AA1" s="3" t="inlineStr">
        <is>
          <t>Bot tốt hơn</t>
        </is>
      </c>
      <c r="AB1" s="3" t="inlineStr">
        <is>
          <t>Chênh lệch</t>
        </is>
      </c>
      <c r="AC1" s="3" t="inlineStr">
        <is>
          <t>Ghi chú tester</t>
        </is>
      </c>
    </row>
    <row r="2">
      <c r="A2" s="2" t="inlineStr">
        <is>
          <t>PCNTT001</t>
        </is>
      </c>
      <c r="B2" s="2" t="inlineStr">
        <is>
          <t>Mục tiêu và vai trò của module "Tin tức – Thông báo" trên hệ thống support là gì?</t>
        </is>
      </c>
      <c r="C2" s="2" t="inlineStr">
        <is>
          <t>2026.03.03.ChatbotAI_CBGV_SV_V4.docx</t>
        </is>
      </c>
      <c r="D2" s="2" t="inlineStr">
        <is>
          <t>Mục I -&gt; 1</t>
        </is>
      </c>
      <c r="E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F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 Từ khóa trọng tâm: tin tức; thông báo; giới thiệu module; nguồn tin; đồng bộ thông tin</t>
        </is>
      </c>
      <c r="G2" s="2" t="inlineStr">
        <is>
          <t>tin tức, thông báo, giới thiệu module, nguồn tin, đồng bộ thông tin</t>
        </is>
      </c>
      <c r="H2" s="2" t="inlineStr">
        <is>
          <t>trả lời không có căn cứ khi đáp án chuẩn có thông tin; nguồn không liên quan</t>
        </is>
      </c>
      <c r="I2" s="2" t="inlineStr"/>
      <c r="J2" s="2" t="inlineStr"/>
      <c r="K2" s="2" t="inlineStr"/>
      <c r="L2" s="2" t="inlineStr"/>
      <c r="M2" s="2" t="inlineStr"/>
      <c r="N2" s="2" t="inlineStr"/>
      <c r="O2" s="2" t="inlineStr"/>
      <c r="P2" s="2">
        <f>SUM(K2:O2)</f>
        <v/>
      </c>
      <c r="Q2" s="2" t="inlineStr"/>
      <c r="R2" s="2" t="inlineStr"/>
      <c r="S2" s="2" t="inlineStr"/>
      <c r="T2" s="2" t="inlineStr"/>
      <c r="U2" s="2" t="inlineStr"/>
      <c r="V2" s="2" t="inlineStr"/>
      <c r="W2" s="2" t="inlineStr"/>
      <c r="X2" s="2" t="inlineStr"/>
      <c r="Y2" s="2">
        <f>SUM(T2:X2)</f>
        <v/>
      </c>
      <c r="Z2" s="2" t="inlineStr"/>
      <c r="AA2" s="2">
        <f>IF(P2&gt;Y2,"Bot 1",IF(Y2&gt;P2,"Bot 2","Hòa"))</f>
        <v/>
      </c>
      <c r="AB2" s="2">
        <f>ABS(P2-Y2)</f>
        <v/>
      </c>
      <c r="AC2" s="2" t="inlineStr"/>
    </row>
    <row r="3">
      <c r="A3" s="2" t="inlineStr">
        <is>
          <t>PCNTT002</t>
        </is>
      </c>
      <c r="B3" s="2" t="inlineStr">
        <is>
          <t>Làm thế nào để tôi truy cập vào mục "Tin tức – Thông báo"?</t>
        </is>
      </c>
      <c r="C3" s="2" t="inlineStr">
        <is>
          <t>2026.03.03.ChatbotAI_CBGV_SV_V4.docx</t>
        </is>
      </c>
      <c r="D3" s="2" t="inlineStr">
        <is>
          <t>Mục I -&gt; 2</t>
        </is>
      </c>
      <c r="E3" s="2" t="inlineStr">
        <is>
          <t>Bạn truy cập hệ thống support tại địa chỉ https://support.uneti.edu.vn và đăng nhập tài khoản cá nhân. Sau đó, chọn mục "Tin tức – Thông báo" trên menu hoặc vào link trực tiếp: https://support.uneti.edu.vn/tin-tuc.</t>
        </is>
      </c>
      <c r="F3" s="2" t="inlineStr">
        <is>
          <t>Bạn truy cập hệ thống support tại địa chỉ https://support.uneti.edu.vn và đăng nhập tài khoản cá nhân. Sau đó, chọn mục "Tin tức – Thông báo" trên menu hoặc vào link trực tiếp: https://support.uneti.edu.vn/tin-tuc.; Từ khóa trọng tâm: cách truy cập; link thông báo; đăng nhập xem tin tức; đường dẫn</t>
        </is>
      </c>
      <c r="G3" s="2" t="inlineStr">
        <is>
          <t>cách truy cập, link thông báo, đăng nhập xem tin tức, đường dẫn</t>
        </is>
      </c>
      <c r="H3" s="2" t="inlineStr">
        <is>
          <t>trả lời không có căn cứ khi đáp án chuẩn có thông tin; nguồn không liên quan; trả lời quy chế chung nhưng không nêu thao tác hệ thống</t>
        </is>
      </c>
      <c r="I3" s="2" t="inlineStr"/>
      <c r="J3" s="2" t="inlineStr"/>
      <c r="K3" s="2" t="inlineStr"/>
      <c r="L3" s="2" t="inlineStr"/>
      <c r="M3" s="2" t="inlineStr"/>
      <c r="N3" s="2" t="inlineStr"/>
      <c r="O3" s="2" t="inlineStr"/>
      <c r="P3" s="2">
        <f>SUM(K3:O3)</f>
        <v/>
      </c>
      <c r="Q3" s="2" t="inlineStr"/>
      <c r="R3" s="2" t="inlineStr"/>
      <c r="S3" s="2" t="inlineStr"/>
      <c r="T3" s="2" t="inlineStr"/>
      <c r="U3" s="2" t="inlineStr"/>
      <c r="V3" s="2" t="inlineStr"/>
      <c r="W3" s="2" t="inlineStr"/>
      <c r="X3" s="2" t="inlineStr"/>
      <c r="Y3" s="2">
        <f>SUM(T3:X3)</f>
        <v/>
      </c>
      <c r="Z3" s="2" t="inlineStr"/>
      <c r="AA3" s="2">
        <f>IF(P3&gt;Y3,"Bot 1",IF(Y3&gt;P3,"Bot 2","Hòa"))</f>
        <v/>
      </c>
      <c r="AB3" s="2">
        <f>ABS(P3-Y3)</f>
        <v/>
      </c>
      <c r="AC3" s="2" t="inlineStr"/>
    </row>
    <row r="4">
      <c r="A4" s="2" t="inlineStr">
        <is>
          <t>PCNTT003</t>
        </is>
      </c>
      <c r="B4" s="2" t="inlineStr">
        <is>
          <t>Chức năng "Tiêu điểm" trong mục Tin tức hiển thị thông tin dựa trên cơ chế nào?</t>
        </is>
      </c>
      <c r="C4" s="2" t="inlineStr">
        <is>
          <t>2026.03.03.ChatbotAI_CBGV_SV_V4.docx</t>
        </is>
      </c>
      <c r="D4" s="2" t="inlineStr">
        <is>
          <t>Mục I -&gt; 3 -&gt; 3.1</t>
        </is>
      </c>
      <c r="E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F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 Từ khóa trọng tâm: tiêu điểm; cá nhân hóa; hiển thị bài viết nổi bật; thuật toán lọc</t>
        </is>
      </c>
      <c r="G4" s="2" t="inlineStr">
        <is>
          <t>tiêu điểm, cá nhân hóa, hiển thị bài viết nổi bật, thuật toán lọc</t>
        </is>
      </c>
      <c r="H4" s="2" t="inlineStr">
        <is>
          <t>trả lời không có căn cứ khi đáp án chuẩn có thông tin; nguồn không liên quan</t>
        </is>
      </c>
      <c r="I4" s="2" t="inlineStr"/>
      <c r="J4" s="2" t="inlineStr"/>
      <c r="K4" s="2" t="inlineStr"/>
      <c r="L4" s="2" t="inlineStr"/>
      <c r="M4" s="2" t="inlineStr"/>
      <c r="N4" s="2" t="inlineStr"/>
      <c r="O4" s="2" t="inlineStr"/>
      <c r="P4" s="2">
        <f>SUM(K4:O4)</f>
        <v/>
      </c>
      <c r="Q4" s="2" t="inlineStr"/>
      <c r="R4" s="2" t="inlineStr"/>
      <c r="S4" s="2" t="inlineStr"/>
      <c r="T4" s="2" t="inlineStr"/>
      <c r="U4" s="2" t="inlineStr"/>
      <c r="V4" s="2" t="inlineStr"/>
      <c r="W4" s="2" t="inlineStr"/>
      <c r="X4" s="2" t="inlineStr"/>
      <c r="Y4" s="2">
        <f>SUM(T4:X4)</f>
        <v/>
      </c>
      <c r="Z4" s="2" t="inlineStr"/>
      <c r="AA4" s="2">
        <f>IF(P4&gt;Y4,"Bot 1",IF(Y4&gt;P4,"Bot 2","Hòa"))</f>
        <v/>
      </c>
      <c r="AB4" s="2">
        <f>ABS(P4-Y4)</f>
        <v/>
      </c>
      <c r="AC4" s="2" t="inlineStr"/>
    </row>
    <row r="5">
      <c r="A5" s="2" t="inlineStr">
        <is>
          <t>PCNTT004</t>
        </is>
      </c>
      <c r="B5" s="2" t="inlineStr">
        <is>
          <t>Danh mục "Thông báo" của trường bao gồm các loại văn bản nào?</t>
        </is>
      </c>
      <c r="C5" s="2" t="inlineStr">
        <is>
          <t>2026.03.03.ChatbotAI_CBGV_SV_V4.docx</t>
        </is>
      </c>
      <c r="D5" s="2" t="inlineStr">
        <is>
          <t>Mục I -&gt; 3 -&gt; 3.2 -&gt; a</t>
        </is>
      </c>
      <c r="E5" s="2" t="inlineStr">
        <is>
          <t>Danh mục này chứa các văn bản mang tính hành chính, chỉ đạo bao gồm: Lịch học/thi/công tác, quy định mới, hướng dẫn từ các phòng ban (Đào tạo, CTSV), công văn và quyết định.</t>
        </is>
      </c>
      <c r="F5" s="2" t="inlineStr">
        <is>
          <t>Danh mục này chứa các văn bản mang tính hành chính, chỉ đạo bao gồm: Lịch học/thi/công tác, quy định mới, hướng dẫn từ các phòng ban (Đào tạo, CTSV), công văn và quyết định.; Từ khóa trọng tâm: lịch học; lịch thi; công văn; quyết định; quy định mới; văn bản chỉ đạo</t>
        </is>
      </c>
      <c r="G5" s="2" t="inlineStr">
        <is>
          <t>lịch học, lịch thi, công văn, quyết định, quy định mới, văn bản chỉ đạo</t>
        </is>
      </c>
      <c r="H5" s="2" t="inlineStr">
        <is>
          <t>trả lời không có căn cứ khi đáp án chuẩn có thông tin; nguồn không liên quan</t>
        </is>
      </c>
      <c r="I5" s="2" t="inlineStr"/>
      <c r="J5" s="2" t="inlineStr"/>
      <c r="K5" s="2" t="inlineStr"/>
      <c r="L5" s="2" t="inlineStr"/>
      <c r="M5" s="2" t="inlineStr"/>
      <c r="N5" s="2" t="inlineStr"/>
      <c r="O5" s="2" t="inlineStr"/>
      <c r="P5" s="2">
        <f>SUM(K5:O5)</f>
        <v/>
      </c>
      <c r="Q5" s="2" t="inlineStr"/>
      <c r="R5" s="2" t="inlineStr"/>
      <c r="S5" s="2" t="inlineStr"/>
      <c r="T5" s="2" t="inlineStr"/>
      <c r="U5" s="2" t="inlineStr"/>
      <c r="V5" s="2" t="inlineStr"/>
      <c r="W5" s="2" t="inlineStr"/>
      <c r="X5" s="2" t="inlineStr"/>
      <c r="Y5" s="2">
        <f>SUM(T5:X5)</f>
        <v/>
      </c>
      <c r="Z5" s="2" t="inlineStr"/>
      <c r="AA5" s="2">
        <f>IF(P5&gt;Y5,"Bot 1",IF(Y5&gt;P5,"Bot 2","Hòa"))</f>
        <v/>
      </c>
      <c r="AB5" s="2">
        <f>ABS(P5-Y5)</f>
        <v/>
      </c>
      <c r="AC5" s="2" t="inlineStr"/>
    </row>
    <row r="6">
      <c r="A6" s="2" t="inlineStr">
        <is>
          <t>PCNTT005</t>
        </is>
      </c>
      <c r="B6" s="2" t="inlineStr">
        <is>
          <t>Mục "Sự kiện" trên trang thông báo hiển thị những nội dung gì?</t>
        </is>
      </c>
      <c r="C6" s="2" t="inlineStr">
        <is>
          <t>2026.03.03.ChatbotAI_CBGV_SV_V4.docx</t>
        </is>
      </c>
      <c r="D6" s="2" t="inlineStr">
        <is>
          <t>Mục I -&gt; 3 -&gt; 3.2 -&gt; b</t>
        </is>
      </c>
      <c r="E6" s="2" t="inlineStr">
        <is>
          <t>Mục này tổng hợp các chương trình có thời gian tổ chức cụ thể như: Hội thảo khoa học, sự kiện tuyển sinh, hoạt động đoàn - hội, ngoại khóa, talkshow... Mỗi sự kiện đều ghi rõ thời gian, địa điểm.</t>
        </is>
      </c>
      <c r="F6" s="2" t="inlineStr">
        <is>
          <t>Mục này tổng hợp các chương trình có thời gian tổ chức cụ thể như: Hội thảo khoa học, sự kiện tuyển sinh, hoạt động đoàn - hội, ngoại khóa, talkshow... Mỗi sự kiện đều ghi rõ thời gian, địa điểm.; Từ khóa trọng tâm: hội thảo; tuyển sinh; ngoại khóa; thời gian địa điểm sự kiện; talkshow</t>
        </is>
      </c>
      <c r="G6" s="2" t="inlineStr">
        <is>
          <t>hội thảo, tuyển sinh, ngoại khóa, thời gian địa điểm sự kiện, talkshow</t>
        </is>
      </c>
      <c r="H6" s="2" t="inlineStr">
        <is>
          <t>trả lời không có căn cứ khi đáp án chuẩn có thông tin; nguồn không liên quan</t>
        </is>
      </c>
      <c r="I6" s="2" t="inlineStr"/>
      <c r="J6" s="2" t="inlineStr"/>
      <c r="K6" s="2" t="inlineStr"/>
      <c r="L6" s="2" t="inlineStr"/>
      <c r="M6" s="2" t="inlineStr"/>
      <c r="N6" s="2" t="inlineStr"/>
      <c r="O6" s="2" t="inlineStr"/>
      <c r="P6" s="2">
        <f>SUM(K6:O6)</f>
        <v/>
      </c>
      <c r="Q6" s="2" t="inlineStr"/>
      <c r="R6" s="2" t="inlineStr"/>
      <c r="S6" s="2" t="inlineStr"/>
      <c r="T6" s="2" t="inlineStr"/>
      <c r="U6" s="2" t="inlineStr"/>
      <c r="V6" s="2" t="inlineStr"/>
      <c r="W6" s="2" t="inlineStr"/>
      <c r="X6" s="2" t="inlineStr"/>
      <c r="Y6" s="2">
        <f>SUM(T6:X6)</f>
        <v/>
      </c>
      <c r="Z6" s="2" t="inlineStr"/>
      <c r="AA6" s="2">
        <f>IF(P6&gt;Y6,"Bot 1",IF(Y6&gt;P6,"Bot 2","Hòa"))</f>
        <v/>
      </c>
      <c r="AB6" s="2">
        <f>ABS(P6-Y6)</f>
        <v/>
      </c>
      <c r="AC6" s="2" t="inlineStr"/>
    </row>
    <row r="7">
      <c r="A7" s="2" t="inlineStr">
        <is>
          <t>PCNTT006</t>
        </is>
      </c>
      <c r="B7" s="2" t="inlineStr">
        <is>
          <t>Tại sao tôi không thấy toàn bộ các bài viết cũ ở trang chủ Tin tức và làm sao để xem lại?</t>
        </is>
      </c>
      <c r="C7" s="2" t="inlineStr">
        <is>
          <t>2026.03.03.ChatbotAI_CBGV_SV_V4.docx</t>
        </is>
      </c>
      <c r="D7" s="2" t="inlineStr">
        <is>
          <t>Mục I -&gt; 3 -&gt; 3.3</t>
        </is>
      </c>
      <c r="E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F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 Từ khóa trọng tâm: xem thêm; bài viết cũ; danh sách đầy đủ; hiển thị bài đăng</t>
        </is>
      </c>
      <c r="G7" s="2" t="inlineStr">
        <is>
          <t>xem thêm, bài viết cũ, danh sách đầy đủ, hiển thị bài đăng</t>
        </is>
      </c>
      <c r="H7" s="2" t="inlineStr">
        <is>
          <t>trả lời không có căn cứ khi đáp án chuẩn có thông tin; nguồn không liên quan; trả lời quy chế chung nhưng không nêu thao tác hệ thống</t>
        </is>
      </c>
      <c r="I7" s="2" t="inlineStr"/>
      <c r="J7" s="2" t="inlineStr"/>
      <c r="K7" s="2" t="inlineStr"/>
      <c r="L7" s="2" t="inlineStr"/>
      <c r="M7" s="2" t="inlineStr"/>
      <c r="N7" s="2" t="inlineStr"/>
      <c r="O7" s="2" t="inlineStr"/>
      <c r="P7" s="2">
        <f>SUM(K7:O7)</f>
        <v/>
      </c>
      <c r="Q7" s="2" t="inlineStr"/>
      <c r="R7" s="2" t="inlineStr"/>
      <c r="S7" s="2" t="inlineStr"/>
      <c r="T7" s="2" t="inlineStr"/>
      <c r="U7" s="2" t="inlineStr"/>
      <c r="V7" s="2" t="inlineStr"/>
      <c r="W7" s="2" t="inlineStr"/>
      <c r="X7" s="2" t="inlineStr"/>
      <c r="Y7" s="2">
        <f>SUM(T7:X7)</f>
        <v/>
      </c>
      <c r="Z7" s="2" t="inlineStr"/>
      <c r="AA7" s="2">
        <f>IF(P7&gt;Y7,"Bot 1",IF(Y7&gt;P7,"Bot 2","Hòa"))</f>
        <v/>
      </c>
      <c r="AB7" s="2">
        <f>ABS(P7-Y7)</f>
        <v/>
      </c>
      <c r="AC7" s="2" t="inlineStr"/>
    </row>
    <row r="8">
      <c r="A8" s="2" t="inlineStr">
        <is>
          <t>PCNTT007</t>
        </is>
      </c>
      <c r="B8" s="2" t="inlineStr">
        <is>
          <t>Làm thế nào để tìm kiếm bài viết cũ và quay trở lại danh sách mặc định khi cần?</t>
        </is>
      </c>
      <c r="C8" s="2" t="inlineStr">
        <is>
          <t>2026.03.03.ChatbotAI_CBGV_SV_V4.docx</t>
        </is>
      </c>
      <c r="D8" s="2" t="inlineStr">
        <is>
          <t>Mục I -&gt; 3 -&gt; 3.4</t>
        </is>
      </c>
      <c r="E8" s="2" t="inlineStr">
        <is>
          <t>Bạn nhập từ khóa liên quan đến tên bài đăng vào thanh tìm kiếm. Nếu muốn quay về danh sách đầy đủ ban đầu, bạn bấm vào biểu tượng "Bỏ lọc" để xóa từ khóa tìm kiếm.</t>
        </is>
      </c>
      <c r="F8" s="2" t="inlineStr">
        <is>
          <t>Bạn nhập từ khóa liên quan đến tên bài đăng vào thanh tìm kiếm. Nếu muốn quay về danh sách đầy đủ ban đầu, bạn bấm vào biểu tượng "Bỏ lọc" để xóa từ khóa tìm kiếm.; Từ khóa trọng tâm: thanh tìm kiếm; tìm bài viết; bỏ lọc; đặt lại kết quả; từ khóa</t>
        </is>
      </c>
      <c r="G8" s="2" t="inlineStr">
        <is>
          <t>thanh tìm kiếm, tìm bài viết, bỏ lọc, đặt lại kết quả, từ khóa</t>
        </is>
      </c>
      <c r="H8" s="2" t="inlineStr">
        <is>
          <t>trả lời không có căn cứ khi đáp án chuẩn có thông tin; nguồn không liên quan; trả lời quy chế chung nhưng không nêu thao tác hệ thống</t>
        </is>
      </c>
      <c r="I8" s="2" t="inlineStr"/>
      <c r="J8" s="2" t="inlineStr"/>
      <c r="K8" s="2" t="inlineStr"/>
      <c r="L8" s="2" t="inlineStr"/>
      <c r="M8" s="2" t="inlineStr"/>
      <c r="N8" s="2" t="inlineStr"/>
      <c r="O8" s="2" t="inlineStr"/>
      <c r="P8" s="2">
        <f>SUM(K8:O8)</f>
        <v/>
      </c>
      <c r="Q8" s="2" t="inlineStr"/>
      <c r="R8" s="2" t="inlineStr"/>
      <c r="S8" s="2" t="inlineStr"/>
      <c r="T8" s="2" t="inlineStr"/>
      <c r="U8" s="2" t="inlineStr"/>
      <c r="V8" s="2" t="inlineStr"/>
      <c r="W8" s="2" t="inlineStr"/>
      <c r="X8" s="2" t="inlineStr"/>
      <c r="Y8" s="2">
        <f>SUM(T8:X8)</f>
        <v/>
      </c>
      <c r="Z8" s="2" t="inlineStr"/>
      <c r="AA8" s="2">
        <f>IF(P8&gt;Y8,"Bot 1",IF(Y8&gt;P8,"Bot 2","Hòa"))</f>
        <v/>
      </c>
      <c r="AB8" s="2">
        <f>ABS(P8-Y8)</f>
        <v/>
      </c>
      <c r="AC8" s="2" t="inlineStr"/>
    </row>
    <row r="9">
      <c r="A9" s="2" t="inlineStr">
        <is>
          <t>PCNTT008</t>
        </is>
      </c>
      <c r="B9" s="2" t="inlineStr">
        <is>
          <t>Khi bấm xem chi tiết một bài đăng, tôi có thể tải văn bản đính kèm ở đâu?</t>
        </is>
      </c>
      <c r="C9" s="2" t="inlineStr">
        <is>
          <t>2026.03.03.ChatbotAI_CBGV_SV_V4.docx</t>
        </is>
      </c>
      <c r="D9" s="2" t="inlineStr">
        <is>
          <t>Mục I -&gt; 3 -&gt; 3.5</t>
        </is>
      </c>
      <c r="E9" s="2" t="inlineStr">
        <is>
          <t>Khi nhấp vào bài đăng, hệ thống sẽ điều hướng bạn đến trang thông tin chi tiết. Nếu bài viết có kèm tài liệu hoặc văn bản hướng dẫn, bạn có thể tải trực tiếp file về tại trang chi tiết này.</t>
        </is>
      </c>
      <c r="F9" s="2" t="inlineStr">
        <is>
          <t>Khi nhấp vào bài đăng, hệ thống sẽ điều hướng bạn đến trang thông tin chi tiết. Nếu bài viết có kèm tài liệu hoặc văn bản hướng dẫn, bạn có thể tải trực tiếp file về tại trang chi tiết này.; Từ khóa trọng tâm: tải file đính kèm; văn bản đính kèm; xem chi tiết; file tài liệu</t>
        </is>
      </c>
      <c r="G9" s="2" t="inlineStr">
        <is>
          <t>tải file đính kèm, văn bản đính kèm, xem chi tiết, file tài liệu</t>
        </is>
      </c>
      <c r="H9" s="2" t="inlineStr">
        <is>
          <t>trả lời không có căn cứ khi đáp án chuẩn có thông tin; nguồn không liên quan; trả lời quy chế chung nhưng không nêu thao tác hệ thống</t>
        </is>
      </c>
      <c r="I9" s="2" t="inlineStr"/>
      <c r="J9" s="2" t="inlineStr"/>
      <c r="K9" s="2" t="inlineStr"/>
      <c r="L9" s="2" t="inlineStr"/>
      <c r="M9" s="2" t="inlineStr"/>
      <c r="N9" s="2" t="inlineStr"/>
      <c r="O9" s="2" t="inlineStr"/>
      <c r="P9" s="2">
        <f>SUM(K9:O9)</f>
        <v/>
      </c>
      <c r="Q9" s="2" t="inlineStr"/>
      <c r="R9" s="2" t="inlineStr"/>
      <c r="S9" s="2" t="inlineStr"/>
      <c r="T9" s="2" t="inlineStr"/>
      <c r="U9" s="2" t="inlineStr"/>
      <c r="V9" s="2" t="inlineStr"/>
      <c r="W9" s="2" t="inlineStr"/>
      <c r="X9" s="2" t="inlineStr"/>
      <c r="Y9" s="2">
        <f>SUM(T9:X9)</f>
        <v/>
      </c>
      <c r="Z9" s="2" t="inlineStr"/>
      <c r="AA9" s="2">
        <f>IF(P9&gt;Y9,"Bot 1",IF(Y9&gt;P9,"Bot 2","Hòa"))</f>
        <v/>
      </c>
      <c r="AB9" s="2">
        <f>ABS(P9-Y9)</f>
        <v/>
      </c>
      <c r="AC9" s="2" t="inlineStr"/>
    </row>
    <row r="10">
      <c r="A10" s="2" t="inlineStr">
        <is>
          <t>PCNTT009</t>
        </is>
      </c>
      <c r="B10" s="2" t="inlineStr">
        <is>
          <t>Cán bộ/Sinh viên có tự đăng bài viết hoặc thông báo lên module này được không?</t>
        </is>
      </c>
      <c r="C10" s="2" t="inlineStr">
        <is>
          <t>2026.03.03.ChatbotAI_CBGV_SV_V4.docx</t>
        </is>
      </c>
      <c r="D10" s="2" t="inlineStr">
        <is>
          <t>Mục I -&gt; 4</t>
        </is>
      </c>
      <c r="E10" s="2" t="inlineStr">
        <is>
          <t>Không. Việc đăng bài mới không thực hiện trong module này. Chỉ có các đơn vị truyền thông hoặc các phòng ban được nhà trường phân quyền mới có thể tạo nội dung gốc.</t>
        </is>
      </c>
      <c r="F10" s="2" t="inlineStr">
        <is>
          <t>Không. Việc đăng bài mới không thực hiện trong module này. Chỉ có các đơn vị truyền thông hoặc các phòng ban được nhà trường phân quyền mới có thể tạo nội dung gốc.; Từ khóa trọng tâm: đăng thông báo; tạo bài viết mới; quyền đăng bài; đơn vị truyền thông</t>
        </is>
      </c>
      <c r="G10" s="2" t="inlineStr">
        <is>
          <t>đăng thông báo, tạo bài viết mới, quyền đăng bài, đơn vị truyền thông</t>
        </is>
      </c>
      <c r="H10" s="2" t="inlineStr">
        <is>
          <t>trả lời không có căn cứ khi đáp án chuẩn có thông tin; nguồn không liên quan</t>
        </is>
      </c>
      <c r="I10" s="2" t="inlineStr"/>
      <c r="J10" s="2" t="inlineStr"/>
      <c r="K10" s="2" t="inlineStr"/>
      <c r="L10" s="2" t="inlineStr"/>
      <c r="M10" s="2" t="inlineStr"/>
      <c r="N10" s="2" t="inlineStr"/>
      <c r="O10" s="2" t="inlineStr"/>
      <c r="P10" s="2">
        <f>SUM(K10:O10)</f>
        <v/>
      </c>
      <c r="Q10" s="2" t="inlineStr"/>
      <c r="R10" s="2" t="inlineStr"/>
      <c r="S10" s="2" t="inlineStr"/>
      <c r="T10" s="2" t="inlineStr"/>
      <c r="U10" s="2" t="inlineStr"/>
      <c r="V10" s="2" t="inlineStr"/>
      <c r="W10" s="2" t="inlineStr"/>
      <c r="X10" s="2" t="inlineStr"/>
      <c r="Y10" s="2">
        <f>SUM(T10:X10)</f>
        <v/>
      </c>
      <c r="Z10" s="2" t="inlineStr"/>
      <c r="AA10" s="2">
        <f>IF(P10&gt;Y10,"Bot 1",IF(Y10&gt;P10,"Bot 2","Hòa"))</f>
        <v/>
      </c>
      <c r="AB10" s="2">
        <f>ABS(P10-Y10)</f>
        <v/>
      </c>
      <c r="AC10" s="2" t="inlineStr"/>
    </row>
    <row r="11">
      <c r="A11" s="2" t="inlineStr">
        <is>
          <t>PCNTT010</t>
        </is>
      </c>
      <c r="B11" s="2" t="inlineStr">
        <is>
          <t>Module "Hướng dẫn sử dụng phần mềm" cung cấp những tài nguyên gì cho người dùng?</t>
        </is>
      </c>
      <c r="C11" s="2" t="inlineStr">
        <is>
          <t>2026.03.03.ChatbotAI_CBGV_SV_V4.docx</t>
        </is>
      </c>
      <c r="D11" s="2" t="inlineStr">
        <is>
          <t>Mục II -&gt; 1</t>
        </is>
      </c>
      <c r="E11" s="2" t="inlineStr">
        <is>
          <t>Module cung cấp đầy đủ các bộ cài đặt phần mềm nghiệp vụ, tài liệu hướng dẫn chi tiết (dạng PDF/DOC) và các video thuyết minh thao tác mô phỏng quy trình làm việc.</t>
        </is>
      </c>
      <c r="F11" s="2" t="inlineStr">
        <is>
          <t>Module cung cấp đầy đủ các bộ cài đặt phần mềm nghiệp vụ, tài liệu hướng dẫn chi tiết (dạng PDF/DOC) và các video thuyết minh thao tác mô phỏng quy trình làm việc.; Từ khóa trọng tâm: tài nguyên kỹ thuật; bộ cài đặt; tài liệu pdf; video thao tác</t>
        </is>
      </c>
      <c r="G11" s="2" t="inlineStr">
        <is>
          <t>tài nguyên kỹ thuật, bộ cài đặt, tài liệu pdf, video thao tác</t>
        </is>
      </c>
      <c r="H11" s="2" t="inlineStr">
        <is>
          <t>trả lời không có căn cứ khi đáp án chuẩn có thông tin; nguồn không liên quan</t>
        </is>
      </c>
      <c r="I11" s="2" t="inlineStr"/>
      <c r="J11" s="2" t="inlineStr"/>
      <c r="K11" s="2" t="inlineStr"/>
      <c r="L11" s="2" t="inlineStr"/>
      <c r="M11" s="2" t="inlineStr"/>
      <c r="N11" s="2" t="inlineStr"/>
      <c r="O11" s="2" t="inlineStr"/>
      <c r="P11" s="2">
        <f>SUM(K11:O11)</f>
        <v/>
      </c>
      <c r="Q11" s="2" t="inlineStr"/>
      <c r="R11" s="2" t="inlineStr"/>
      <c r="S11" s="2" t="inlineStr"/>
      <c r="T11" s="2" t="inlineStr"/>
      <c r="U11" s="2" t="inlineStr"/>
      <c r="V11" s="2" t="inlineStr"/>
      <c r="W11" s="2" t="inlineStr"/>
      <c r="X11" s="2" t="inlineStr"/>
      <c r="Y11" s="2">
        <f>SUM(T11:X11)</f>
        <v/>
      </c>
      <c r="Z11" s="2" t="inlineStr"/>
      <c r="AA11" s="2">
        <f>IF(P11&gt;Y11,"Bot 1",IF(Y11&gt;P11,"Bot 2","Hòa"))</f>
        <v/>
      </c>
      <c r="AB11" s="2">
        <f>ABS(P11-Y11)</f>
        <v/>
      </c>
      <c r="AC11" s="2" t="inlineStr"/>
    </row>
    <row r="12">
      <c r="A12" s="2" t="inlineStr">
        <is>
          <t>PCNTT011</t>
        </is>
      </c>
      <c r="B12" s="2" t="inlineStr">
        <is>
          <t>Giảng viên và cán bộ có thể tải bộ cài đặt các phân hệ nghiệp vụ nào trên hệ thống?</t>
        </is>
      </c>
      <c r="C12" s="2" t="inlineStr">
        <is>
          <t>2026.03.03.ChatbotAI_CBGV_SV_V4.docx</t>
        </is>
      </c>
      <c r="D12" s="2" t="inlineStr">
        <is>
          <t>Mục II -&gt; 3</t>
        </is>
      </c>
      <c r="E12" s="2" t="inlineStr">
        <is>
          <t>Cán bộ, giảng viên có thể tải các bộ cài đặt gồm: Phân hệ Quản lý đào tạo (EDU) và công cụ soạn câu hỏi trắc nghiệm Offline, phân hệ Quản lý nhân sự (HRM) và phần mềm Uneti Online.</t>
        </is>
      </c>
      <c r="F12" s="2" t="inlineStr">
        <is>
          <t>Cán bộ, giảng viên có thể tải các bộ cài đặt gồm: Phân hệ Quản lý đào tạo (EDU) và công cụ soạn câu hỏi trắc nghiệm Offline, phân hệ Quản lý nhân sự (HRM) và phần mềm Uneti Online.; Từ khóa trọng tâm: cài đặt EDU; trắc nghiệm offline; bộ cài HRM; phần mềm uneti online</t>
        </is>
      </c>
      <c r="G12" s="2" t="inlineStr">
        <is>
          <t>cài đặt EDU, trắc nghiệm offline, bộ cài HRM, phần mềm uneti online</t>
        </is>
      </c>
      <c r="H12" s="2" t="inlineStr">
        <is>
          <t>trả lời không có căn cứ khi đáp án chuẩn có thông tin; nguồn không liên quan</t>
        </is>
      </c>
      <c r="I12" s="2" t="inlineStr"/>
      <c r="J12" s="2" t="inlineStr"/>
      <c r="K12" s="2" t="inlineStr"/>
      <c r="L12" s="2" t="inlineStr"/>
      <c r="M12" s="2" t="inlineStr"/>
      <c r="N12" s="2" t="inlineStr"/>
      <c r="O12" s="2" t="inlineStr"/>
      <c r="P12" s="2">
        <f>SUM(K12:O12)</f>
        <v/>
      </c>
      <c r="Q12" s="2" t="inlineStr"/>
      <c r="R12" s="2" t="inlineStr"/>
      <c r="S12" s="2" t="inlineStr"/>
      <c r="T12" s="2" t="inlineStr"/>
      <c r="U12" s="2" t="inlineStr"/>
      <c r="V12" s="2" t="inlineStr"/>
      <c r="W12" s="2" t="inlineStr"/>
      <c r="X12" s="2" t="inlineStr"/>
      <c r="Y12" s="2">
        <f>SUM(T12:X12)</f>
        <v/>
      </c>
      <c r="Z12" s="2" t="inlineStr"/>
      <c r="AA12" s="2">
        <f>IF(P12&gt;Y12,"Bot 1",IF(Y12&gt;P12,"Bot 2","Hòa"))</f>
        <v/>
      </c>
      <c r="AB12" s="2">
        <f>ABS(P12-Y12)</f>
        <v/>
      </c>
      <c r="AC12" s="2" t="inlineStr"/>
    </row>
    <row r="13">
      <c r="A13" s="2" t="inlineStr">
        <is>
          <t>PCNTT012</t>
        </is>
      </c>
      <c r="B13" s="2" t="inlineStr">
        <is>
          <t>Tôi có thể tìm thấy những tài liệu hướng dẫn nào liên quan đến thiết bị giảng đường?</t>
        </is>
      </c>
      <c r="C13" s="2" t="inlineStr">
        <is>
          <t>2026.03.03.ChatbotAI_CBGV_SV_V4.docx</t>
        </is>
      </c>
      <c r="D13" s="2" t="inlineStr">
        <is>
          <t>Mục II -&gt; 4 -&gt; 4.1</t>
        </is>
      </c>
      <c r="E13" s="2" t="inlineStr">
        <is>
          <t>Nhóm này gồm tài liệu hướng dẫn sử dụng ổ cắm âm bàn ; kết nối Tivi - Laptop ; phần mềm chuyển đổi USB sang HDMI (cho Windows/macOS) và hướng dẫn kết nối Tivi với Box trình chiếu.</t>
        </is>
      </c>
      <c r="F13" s="2" t="inlineStr">
        <is>
          <t>Nhóm này gồm tài liệu hướng dẫn sử dụng ổ cắm âm bàn ; kết nối Tivi - Laptop ; phần mềm chuyển đổi USB sang HDMI (cho Windows/macOS) và hướng dẫn kết nối Tivi với Box trình chiếu.; Từ khóa trọng tâm: thiết bị phòng học; ổ cắm âm bàn; kết nối laptop với tivi; usb sang hdmi</t>
        </is>
      </c>
      <c r="G13" s="2" t="inlineStr">
        <is>
          <t>thiết bị phòng học, ổ cắm âm bàn, kết nối laptop với tivi, usb sang hdmi</t>
        </is>
      </c>
      <c r="H13" s="2" t="inlineStr">
        <is>
          <t>trả lời không có căn cứ khi đáp án chuẩn có thông tin; nguồn không liên quan</t>
        </is>
      </c>
      <c r="I13" s="2" t="inlineStr"/>
      <c r="J13" s="2" t="inlineStr"/>
      <c r="K13" s="2" t="inlineStr"/>
      <c r="L13" s="2" t="inlineStr"/>
      <c r="M13" s="2" t="inlineStr"/>
      <c r="N13" s="2" t="inlineStr"/>
      <c r="O13" s="2" t="inlineStr"/>
      <c r="P13" s="2">
        <f>SUM(K13:O13)</f>
        <v/>
      </c>
      <c r="Q13" s="2" t="inlineStr"/>
      <c r="R13" s="2" t="inlineStr"/>
      <c r="S13" s="2" t="inlineStr"/>
      <c r="T13" s="2" t="inlineStr"/>
      <c r="U13" s="2" t="inlineStr"/>
      <c r="V13" s="2" t="inlineStr"/>
      <c r="W13" s="2" t="inlineStr"/>
      <c r="X13" s="2" t="inlineStr"/>
      <c r="Y13" s="2">
        <f>SUM(T13:X13)</f>
        <v/>
      </c>
      <c r="Z13" s="2" t="inlineStr"/>
      <c r="AA13" s="2">
        <f>IF(P13&gt;Y13,"Bot 1",IF(Y13&gt;P13,"Bot 2","Hòa"))</f>
        <v/>
      </c>
      <c r="AB13" s="2">
        <f>ABS(P13-Y13)</f>
        <v/>
      </c>
      <c r="AC13" s="2" t="inlineStr"/>
    </row>
    <row r="14">
      <c r="A14" s="2" t="inlineStr">
        <is>
          <t>PCNTT013</t>
        </is>
      </c>
      <c r="B14" s="2" t="inlineStr">
        <is>
          <t>Tài liệu hướng dẫn sử dụng phân hệ Quản lý đào tạo (EDU) được phân loại như thế nào?</t>
        </is>
      </c>
      <c r="C14" s="2" t="inlineStr">
        <is>
          <t>2026.03.03.ChatbotAI_CBGV_SV_V4.docx</t>
        </is>
      </c>
      <c r="D14" s="2" t="inlineStr">
        <is>
          <t>Mục II -&gt; 4 -&gt; 4.2</t>
        </is>
      </c>
      <c r="E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F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 Từ khóa trọng tâm: tài liệu EDU; phân quyền tài khoản; nhập điểm; cố vấn học tập; admin khoa</t>
        </is>
      </c>
      <c r="G14" s="2" t="inlineStr">
        <is>
          <t>tài liệu EDU, phân quyền tài khoản, nhập điểm, cố vấn học tập, admin khoa</t>
        </is>
      </c>
      <c r="H14" s="2" t="inlineStr">
        <is>
          <t>trả lời không có căn cứ khi đáp án chuẩn có thông tin; nguồn không liên quan</t>
        </is>
      </c>
      <c r="I14" s="2" t="inlineStr"/>
      <c r="J14" s="2" t="inlineStr"/>
      <c r="K14" s="2" t="inlineStr"/>
      <c r="L14" s="2" t="inlineStr"/>
      <c r="M14" s="2" t="inlineStr"/>
      <c r="N14" s="2" t="inlineStr"/>
      <c r="O14" s="2" t="inlineStr"/>
      <c r="P14" s="2">
        <f>SUM(K14:O14)</f>
        <v/>
      </c>
      <c r="Q14" s="2" t="inlineStr"/>
      <c r="R14" s="2" t="inlineStr"/>
      <c r="S14" s="2" t="inlineStr"/>
      <c r="T14" s="2" t="inlineStr"/>
      <c r="U14" s="2" t="inlineStr"/>
      <c r="V14" s="2" t="inlineStr"/>
      <c r="W14" s="2" t="inlineStr"/>
      <c r="X14" s="2" t="inlineStr"/>
      <c r="Y14" s="2">
        <f>SUM(T14:X14)</f>
        <v/>
      </c>
      <c r="Z14" s="2" t="inlineStr"/>
      <c r="AA14" s="2">
        <f>IF(P14&gt;Y14,"Bot 1",IF(Y14&gt;P14,"Bot 2","Hòa"))</f>
        <v/>
      </c>
      <c r="AB14" s="2">
        <f>ABS(P14-Y14)</f>
        <v/>
      </c>
      <c r="AC14" s="2" t="inlineStr"/>
    </row>
    <row r="15">
      <c r="A15" s="2" t="inlineStr">
        <is>
          <t>PCNTT014</t>
        </is>
      </c>
      <c r="B15" s="2" t="inlineStr">
        <is>
          <t>Sinh viên muốn tìm tài liệu hướng dẫn học tập trực tuyến LMS thì xem ở đâu?</t>
        </is>
      </c>
      <c r="C15" s="2" t="inlineStr">
        <is>
          <t>2026.03.03.ChatbotAI_CBGV_SV_V4.docx</t>
        </is>
      </c>
      <c r="D15" s="2" t="inlineStr">
        <is>
          <t>Mục II -&gt; 4 -&gt; 4.3</t>
        </is>
      </c>
      <c r="E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F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 Từ khóa trọng tâm: cài đặt LMS; hướng dẫn sinh viên; học trực tuyến; link lms</t>
        </is>
      </c>
      <c r="G15" s="2" t="inlineStr">
        <is>
          <t>cài đặt LMS, hướng dẫn sinh viên, học trực tuyến, link lms</t>
        </is>
      </c>
      <c r="H15" s="2" t="inlineStr">
        <is>
          <t>trả lời không có căn cứ khi đáp án chuẩn có thông tin; nguồn không liên quan; trả lời quy chế chung nhưng không nêu thao tác hệ thống</t>
        </is>
      </c>
      <c r="I15" s="2" t="inlineStr"/>
      <c r="J15" s="2" t="inlineStr"/>
      <c r="K15" s="2" t="inlineStr"/>
      <c r="L15" s="2" t="inlineStr"/>
      <c r="M15" s="2" t="inlineStr"/>
      <c r="N15" s="2" t="inlineStr"/>
      <c r="O15" s="2" t="inlineStr"/>
      <c r="P15" s="2">
        <f>SUM(K15:O15)</f>
        <v/>
      </c>
      <c r="Q15" s="2" t="inlineStr"/>
      <c r="R15" s="2" t="inlineStr"/>
      <c r="S15" s="2" t="inlineStr"/>
      <c r="T15" s="2" t="inlineStr"/>
      <c r="U15" s="2" t="inlineStr"/>
      <c r="V15" s="2" t="inlineStr"/>
      <c r="W15" s="2" t="inlineStr"/>
      <c r="X15" s="2" t="inlineStr"/>
      <c r="Y15" s="2">
        <f>SUM(T15:X15)</f>
        <v/>
      </c>
      <c r="Z15" s="2" t="inlineStr"/>
      <c r="AA15" s="2">
        <f>IF(P15&gt;Y15,"Bot 1",IF(Y15&gt;P15,"Bot 2","Hòa"))</f>
        <v/>
      </c>
      <c r="AB15" s="2">
        <f>ABS(P15-Y15)</f>
        <v/>
      </c>
      <c r="AC15" s="2" t="inlineStr"/>
    </row>
    <row r="16">
      <c r="A16" s="2" t="inlineStr">
        <is>
          <t>PCNTT015</t>
        </is>
      </c>
      <c r="B16" s="2" t="inlineStr">
        <is>
          <t>Hệ thống có các video hướng dẫn sử dụng Thủ tục hành chính một cửa cho sinh viên không?</t>
        </is>
      </c>
      <c r="C16" s="2" t="inlineStr">
        <is>
          <t>2026.03.03.ChatbotAI_CBGV_SV_V4.docx</t>
        </is>
      </c>
      <c r="D16" s="2" t="inlineStr">
        <is>
          <t>Mục II -&gt; 5 -&gt; 5.1 -&gt; a</t>
        </is>
      </c>
      <c r="E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F16" s="2" t="inlineStr">
        <is>
          <t>Có. Hệ thống cung cấp chuỗi video hướng dẫn cài đặt app, đăng nhập và thao tác nộp hồ sơ Một cửa thuộc các mảng: Khảo thí, Đào tạo, CT&amp;CTSV, Hành chính. Link: https://supportscom.uneti.edu.vn/huong-dan-su-dung-thu-tuc-ha; Từ khóa trọng tâm: video một cửa; thủ tục hành chính sinh viên; app điện thoại; nộp hồ sơ</t>
        </is>
      </c>
      <c r="G16" s="2" t="inlineStr">
        <is>
          <t>video một cửa, thủ tục hành chính sinh viên, app điện thoại, nộp hồ sơ</t>
        </is>
      </c>
      <c r="H16" s="2" t="inlineStr">
        <is>
          <t>trả lời không có căn cứ khi đáp án chuẩn có thông tin; nguồn không liên quan; trả lời quy chế chung nhưng không nêu thao tác hệ thống</t>
        </is>
      </c>
      <c r="I16" s="2" t="inlineStr"/>
      <c r="J16" s="2" t="inlineStr"/>
      <c r="K16" s="2" t="inlineStr"/>
      <c r="L16" s="2" t="inlineStr"/>
      <c r="M16" s="2" t="inlineStr"/>
      <c r="N16" s="2" t="inlineStr"/>
      <c r="O16" s="2" t="inlineStr"/>
      <c r="P16" s="2">
        <f>SUM(K16:O16)</f>
        <v/>
      </c>
      <c r="Q16" s="2" t="inlineStr"/>
      <c r="R16" s="2" t="inlineStr"/>
      <c r="S16" s="2" t="inlineStr"/>
      <c r="T16" s="2" t="inlineStr"/>
      <c r="U16" s="2" t="inlineStr"/>
      <c r="V16" s="2" t="inlineStr"/>
      <c r="W16" s="2" t="inlineStr"/>
      <c r="X16" s="2" t="inlineStr"/>
      <c r="Y16" s="2">
        <f>SUM(T16:X16)</f>
        <v/>
      </c>
      <c r="Z16" s="2" t="inlineStr"/>
      <c r="AA16" s="2">
        <f>IF(P16&gt;Y16,"Bot 1",IF(Y16&gt;P16,"Bot 2","Hòa"))</f>
        <v/>
      </c>
      <c r="AB16" s="2">
        <f>ABS(P16-Y16)</f>
        <v/>
      </c>
      <c r="AC16" s="2" t="inlineStr"/>
    </row>
    <row r="17">
      <c r="A17" s="2" t="inlineStr">
        <is>
          <t>PCNTT016</t>
        </is>
      </c>
      <c r="B17" s="2" t="inlineStr">
        <is>
          <t>Giảng viên có thể xem video hướng dẫn về những nghiệp vụ chuyên môn nào?</t>
        </is>
      </c>
      <c r="C17" s="2" t="inlineStr">
        <is>
          <t>2026.03.03.ChatbotAI_CBGV_SV_V4.docx</t>
        </is>
      </c>
      <c r="D17" s="2" t="inlineStr">
        <is>
          <t>Mục II -&gt; 5 -&gt; 5.2</t>
        </is>
      </c>
      <c r="E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F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 Từ khóa trọng tâm: video giảng viên; công tác giảng viên; khối lượng coi thi; nhập khối lượng bù</t>
        </is>
      </c>
      <c r="G17" s="2" t="inlineStr">
        <is>
          <t>video giảng viên, công tác giảng viên, khối lượng coi thi, nhập khối lượng bù</t>
        </is>
      </c>
      <c r="H17" s="2" t="inlineStr">
        <is>
          <t>trả lời không có căn cứ khi đáp án chuẩn có thông tin; nguồn không liên quan; trả lời quy chế chung nhưng không nêu thao tác hệ thống</t>
        </is>
      </c>
      <c r="I17" s="2" t="inlineStr"/>
      <c r="J17" s="2" t="inlineStr"/>
      <c r="K17" s="2" t="inlineStr"/>
      <c r="L17" s="2" t="inlineStr"/>
      <c r="M17" s="2" t="inlineStr"/>
      <c r="N17" s="2" t="inlineStr"/>
      <c r="O17" s="2" t="inlineStr"/>
      <c r="P17" s="2">
        <f>SUM(K17:O17)</f>
        <v/>
      </c>
      <c r="Q17" s="2" t="inlineStr"/>
      <c r="R17" s="2" t="inlineStr"/>
      <c r="S17" s="2" t="inlineStr"/>
      <c r="T17" s="2" t="inlineStr"/>
      <c r="U17" s="2" t="inlineStr"/>
      <c r="V17" s="2" t="inlineStr"/>
      <c r="W17" s="2" t="inlineStr"/>
      <c r="X17" s="2" t="inlineStr"/>
      <c r="Y17" s="2">
        <f>SUM(T17:X17)</f>
        <v/>
      </c>
      <c r="Z17" s="2" t="inlineStr"/>
      <c r="AA17" s="2">
        <f>IF(P17&gt;Y17,"Bot 1",IF(Y17&gt;P17,"Bot 2","Hòa"))</f>
        <v/>
      </c>
      <c r="AB17" s="2">
        <f>ABS(P17-Y17)</f>
        <v/>
      </c>
      <c r="AC17" s="2" t="inlineStr"/>
    </row>
    <row r="18">
      <c r="A18" s="2" t="inlineStr">
        <is>
          <t>PCNTT017</t>
        </is>
      </c>
      <c r="B18" s="2" t="inlineStr">
        <is>
          <t>Tôi gặp sự cố về Email nhà trường (quên mật khẩu, lỗi bảo mật 2 lớp) thì xử lý thế nào?</t>
        </is>
      </c>
      <c r="C18" s="2" t="inlineStr">
        <is>
          <t>2026.03.03.ChatbotAI_CBGV_SV_V4.docx</t>
        </is>
      </c>
      <c r="D18" s="2" t="inlineStr">
        <is>
          <t>Mục II -&gt; 5 -&gt; 5.3 -&gt; a</t>
        </is>
      </c>
      <c r="E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F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 Từ khóa trọng tâm: quên mật khẩu email uneti; bảo mật 2 lớp; lỗi gmail trường; sao lưu email</t>
        </is>
      </c>
      <c r="G18" s="2" t="inlineStr">
        <is>
          <t>quên mật khẩu email uneti, bảo mật 2 lớp, lỗi gmail trường, sao lưu email</t>
        </is>
      </c>
      <c r="H18" s="2" t="inlineStr">
        <is>
          <t>trả lời không có căn cứ khi đáp án chuẩn có thông tin; nguồn không liên quan</t>
        </is>
      </c>
      <c r="I18" s="2" t="inlineStr"/>
      <c r="J18" s="2" t="inlineStr"/>
      <c r="K18" s="2" t="inlineStr"/>
      <c r="L18" s="2" t="inlineStr"/>
      <c r="M18" s="2" t="inlineStr"/>
      <c r="N18" s="2" t="inlineStr"/>
      <c r="O18" s="2" t="inlineStr"/>
      <c r="P18" s="2">
        <f>SUM(K18:O18)</f>
        <v/>
      </c>
      <c r="Q18" s="2" t="inlineStr"/>
      <c r="R18" s="2" t="inlineStr"/>
      <c r="S18" s="2" t="inlineStr"/>
      <c r="T18" s="2" t="inlineStr"/>
      <c r="U18" s="2" t="inlineStr"/>
      <c r="V18" s="2" t="inlineStr"/>
      <c r="W18" s="2" t="inlineStr"/>
      <c r="X18" s="2" t="inlineStr"/>
      <c r="Y18" s="2">
        <f>SUM(T18:X18)</f>
        <v/>
      </c>
      <c r="Z18" s="2" t="inlineStr"/>
      <c r="AA18" s="2">
        <f>IF(P18&gt;Y18,"Bot 1",IF(Y18&gt;P18,"Bot 2","Hòa"))</f>
        <v/>
      </c>
      <c r="AB18" s="2">
        <f>ABS(P18-Y18)</f>
        <v/>
      </c>
      <c r="AC18" s="2" t="inlineStr"/>
    </row>
    <row r="19">
      <c r="A19" s="2" t="inlineStr">
        <is>
          <t>PCNTT018</t>
        </is>
      </c>
      <c r="B19" s="2" t="inlineStr">
        <is>
          <t>Khi thiết bị máy tính, mạng hoặc phần mềm của phòng ban bị hỏng, tôi liên hệ ai để xử lý khẩn cấp?</t>
        </is>
      </c>
      <c r="C19" s="2" t="inlineStr">
        <is>
          <t>2026.03.03.ChatbotAI_CBGV_SV_V4.docx</t>
        </is>
      </c>
      <c r="D19" s="2" t="inlineStr">
        <is>
          <t>Mục III -&gt; 3</t>
        </is>
      </c>
      <c r="E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F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 Từ khóa trọng tâm: số điện thoại kỹ thuật; thầy công; thầy tuấn; thầy thành; sửa mạng khẩn cấp</t>
        </is>
      </c>
      <c r="G19" s="2" t="inlineStr">
        <is>
          <t>số điện thoại kỹ thuật, thầy công, thầy tuấn, thầy thành, sửa mạng khẩn cấp</t>
        </is>
      </c>
      <c r="H19" s="2" t="inlineStr">
        <is>
          <t>trả lời không có căn cứ khi đáp án chuẩn có thông tin; nguồn không liên quan</t>
        </is>
      </c>
      <c r="I19" s="2" t="inlineStr"/>
      <c r="J19" s="2" t="inlineStr"/>
      <c r="K19" s="2" t="inlineStr"/>
      <c r="L19" s="2" t="inlineStr"/>
      <c r="M19" s="2" t="inlineStr"/>
      <c r="N19" s="2" t="inlineStr"/>
      <c r="O19" s="2" t="inlineStr"/>
      <c r="P19" s="2">
        <f>SUM(K19:O19)</f>
        <v/>
      </c>
      <c r="Q19" s="2" t="inlineStr"/>
      <c r="R19" s="2" t="inlineStr"/>
      <c r="S19" s="2" t="inlineStr"/>
      <c r="T19" s="2" t="inlineStr"/>
      <c r="U19" s="2" t="inlineStr"/>
      <c r="V19" s="2" t="inlineStr"/>
      <c r="W19" s="2" t="inlineStr"/>
      <c r="X19" s="2" t="inlineStr"/>
      <c r="Y19" s="2">
        <f>SUM(T19:X19)</f>
        <v/>
      </c>
      <c r="Z19" s="2" t="inlineStr"/>
      <c r="AA19" s="2">
        <f>IF(P19&gt;Y19,"Bot 1",IF(Y19&gt;P19,"Bot 2","Hòa"))</f>
        <v/>
      </c>
      <c r="AB19" s="2">
        <f>ABS(P19-Y19)</f>
        <v/>
      </c>
      <c r="AC19" s="2" t="inlineStr"/>
    </row>
    <row r="20">
      <c r="A20" s="2" t="inlineStr">
        <is>
          <t>PCNTT019</t>
        </is>
      </c>
      <c r="B20" s="2" t="inlineStr">
        <is>
          <t>Quy trình thực hiện báo hỏng thiết bị phần cứng hoặc phần mềm trên trang Support như thế nào?</t>
        </is>
      </c>
      <c r="C20" s="2" t="inlineStr">
        <is>
          <t>2026.03.03.ChatbotAI_CBGV_SV_V4.docx</t>
        </is>
      </c>
      <c r="D20" s="2" t="inlineStr">
        <is>
          <t>Mục III -&gt; 4 -&gt; 4.2</t>
        </is>
      </c>
      <c r="E20" s="2" t="inlineStr">
        <is>
          <t>Bạn vào mục "Báo hỏng", chọn hình thức (theo hiện tượng hoặc cụ thể mã tài sản). Tiếp theo chọn vị trí, lĩnh vực sự cố, nhập mô tả chi tiết, đính kèm hình ảnh và nhấn "Gửi yêu cầu".</t>
        </is>
      </c>
      <c r="F20" s="2" t="inlineStr">
        <is>
          <t>Bạn vào mục "Báo hỏng", chọn hình thức (theo hiện tượng hoặc cụ thể mã tài sản). Tiếp theo chọn vị trí, lĩnh vực sự cố, nhập mô tả chi tiết, đính kèm hình ảnh và nhấn "Gửi yêu cầu".; Từ khóa trọng tâm: các bước báo hỏng; lỗi phần mềm; hỏng camera; gửi yêu cầu sửa chữa</t>
        </is>
      </c>
      <c r="G20" s="2" t="inlineStr">
        <is>
          <t>các bước báo hỏng, lỗi phần mềm, hỏng camera, gửi yêu cầu sửa chữa</t>
        </is>
      </c>
      <c r="H20" s="2" t="inlineStr">
        <is>
          <t>trả lời không có căn cứ khi đáp án chuẩn có thông tin; nguồn không liên quan</t>
        </is>
      </c>
      <c r="I20" s="2" t="inlineStr"/>
      <c r="J20" s="2" t="inlineStr"/>
      <c r="K20" s="2" t="inlineStr"/>
      <c r="L20" s="2" t="inlineStr"/>
      <c r="M20" s="2" t="inlineStr"/>
      <c r="N20" s="2" t="inlineStr"/>
      <c r="O20" s="2" t="inlineStr"/>
      <c r="P20" s="2">
        <f>SUM(K20:O20)</f>
        <v/>
      </c>
      <c r="Q20" s="2" t="inlineStr"/>
      <c r="R20" s="2" t="inlineStr"/>
      <c r="S20" s="2" t="inlineStr"/>
      <c r="T20" s="2" t="inlineStr"/>
      <c r="U20" s="2" t="inlineStr"/>
      <c r="V20" s="2" t="inlineStr"/>
      <c r="W20" s="2" t="inlineStr"/>
      <c r="X20" s="2" t="inlineStr"/>
      <c r="Y20" s="2">
        <f>SUM(T20:X20)</f>
        <v/>
      </c>
      <c r="Z20" s="2" t="inlineStr"/>
      <c r="AA20" s="2">
        <f>IF(P20&gt;Y20,"Bot 1",IF(Y20&gt;P20,"Bot 2","Hòa"))</f>
        <v/>
      </c>
      <c r="AB20" s="2">
        <f>ABS(P20-Y20)</f>
        <v/>
      </c>
      <c r="AC20" s="2" t="inlineStr"/>
    </row>
    <row r="21">
      <c r="A21" s="2" t="inlineStr">
        <is>
          <t>PCNTT020</t>
        </is>
      </c>
      <c r="B21" s="2" t="inlineStr">
        <is>
          <t>Tại sao tôi bị chặn không sử dụng được các chức năng khác trên Web Support sau khi đăng nhập?</t>
        </is>
      </c>
      <c r="C21" s="2" t="inlineStr">
        <is>
          <t>2026.03.03.ChatbotAI_CBGV_SV_V4.docx</t>
        </is>
      </c>
      <c r="D21" s="2" t="inlineStr">
        <is>
          <t>Mục IV -&gt; 2</t>
        </is>
      </c>
      <c r="E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F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 Từ khóa trọng tâm: bị chặn màn hình; lỗi đăng nhập không dùng được web; khảo sát bắt buộc</t>
        </is>
      </c>
      <c r="G21" s="2" t="inlineStr">
        <is>
          <t>bị chặn màn hình, lỗi đăng nhập không dùng được web, khảo sát bắt buộc</t>
        </is>
      </c>
      <c r="H21" s="2" t="inlineStr">
        <is>
          <t>trả lời không có căn cứ khi đáp án chuẩn có thông tin; nguồn không liên quan</t>
        </is>
      </c>
      <c r="I21" s="2" t="inlineStr"/>
      <c r="J21" s="2" t="inlineStr"/>
      <c r="K21" s="2" t="inlineStr"/>
      <c r="L21" s="2" t="inlineStr"/>
      <c r="M21" s="2" t="inlineStr"/>
      <c r="N21" s="2" t="inlineStr"/>
      <c r="O21" s="2" t="inlineStr"/>
      <c r="P21" s="2">
        <f>SUM(K21:O21)</f>
        <v/>
      </c>
      <c r="Q21" s="2" t="inlineStr"/>
      <c r="R21" s="2" t="inlineStr"/>
      <c r="S21" s="2" t="inlineStr"/>
      <c r="T21" s="2" t="inlineStr"/>
      <c r="U21" s="2" t="inlineStr"/>
      <c r="V21" s="2" t="inlineStr"/>
      <c r="W21" s="2" t="inlineStr"/>
      <c r="X21" s="2" t="inlineStr"/>
      <c r="Y21" s="2">
        <f>SUM(T21:X21)</f>
        <v/>
      </c>
      <c r="Z21" s="2" t="inlineStr"/>
      <c r="AA21" s="2">
        <f>IF(P21&gt;Y21,"Bot 1",IF(Y21&gt;P21,"Bot 2","Hòa"))</f>
        <v/>
      </c>
      <c r="AB21" s="2">
        <f>ABS(P21-Y21)</f>
        <v/>
      </c>
      <c r="AC21" s="2" t="inlineStr"/>
    </row>
    <row r="22">
      <c r="A22" s="2" t="inlineStr">
        <is>
          <t>PCNTT021</t>
        </is>
      </c>
      <c r="B22" s="2" t="inlineStr">
        <is>
          <t>Chức năng "Kết quả học tập" trên Web Support giúp sinh viên tra cứu được những gì?</t>
        </is>
      </c>
      <c r="C22" s="2" t="inlineStr">
        <is>
          <t>2026.03.25.AI_HDSD TREN WEB SUPPORT SV.docx</t>
        </is>
      </c>
      <c r="D22" s="2" t="inlineStr">
        <is>
          <t>Mục I -&gt; 1 -&gt; 1.1</t>
        </is>
      </c>
      <c r="E22" s="2" t="inlineStr">
        <is>
          <t>Giúp sinh viên tra cứu toàn bộ điểm số theo từng học kỳ, hiển thị thông tin tổng hợp của từng học phần và xem chi tiết các thành phần điểm để dễ dàng đối chiếu.</t>
        </is>
      </c>
      <c r="F22" s="2" t="inlineStr">
        <is>
          <t>Giúp sinh viên tra cứu toàn bộ điểm số theo từng học kỳ, hiển thị thông tin tổng hợp của từng học phần và xem chi tiết các thành phần điểm để dễ dàng đối chiếu.; Từ khóa trọng tâm: tra cứu điểm; xem điểm học kỳ; điểm thành phần; đối chiếu điểm số</t>
        </is>
      </c>
      <c r="G22" s="2" t="inlineStr">
        <is>
          <t>tra cứu điểm, xem điểm học kỳ, điểm thành phần, đối chiếu điểm số</t>
        </is>
      </c>
      <c r="H22" s="2" t="inlineStr">
        <is>
          <t>trả lời không có căn cứ khi đáp án chuẩn có thông tin; nguồn không liên quan; cán bộ giảng viên nếu câu hỏi chỉ dành cho sinh viên; nguồn CBGV sai đối tượng</t>
        </is>
      </c>
      <c r="I22" s="2" t="inlineStr"/>
      <c r="J22" s="2" t="inlineStr"/>
      <c r="K22" s="2" t="inlineStr"/>
      <c r="L22" s="2" t="inlineStr"/>
      <c r="M22" s="2" t="inlineStr"/>
      <c r="N22" s="2" t="inlineStr"/>
      <c r="O22" s="2" t="inlineStr"/>
      <c r="P22" s="2">
        <f>SUM(K22:O22)</f>
        <v/>
      </c>
      <c r="Q22" s="2" t="inlineStr"/>
      <c r="R22" s="2" t="inlineStr"/>
      <c r="S22" s="2" t="inlineStr"/>
      <c r="T22" s="2" t="inlineStr"/>
      <c r="U22" s="2" t="inlineStr"/>
      <c r="V22" s="2" t="inlineStr"/>
      <c r="W22" s="2" t="inlineStr"/>
      <c r="X22" s="2" t="inlineStr"/>
      <c r="Y22" s="2">
        <f>SUM(T22:X22)</f>
        <v/>
      </c>
      <c r="Z22" s="2" t="inlineStr"/>
      <c r="AA22" s="2">
        <f>IF(P22&gt;Y22,"Bot 1",IF(Y22&gt;P22,"Bot 2","Hòa"))</f>
        <v/>
      </c>
      <c r="AB22" s="2">
        <f>ABS(P22-Y22)</f>
        <v/>
      </c>
      <c r="AC22" s="2" t="inlineStr"/>
    </row>
    <row r="23">
      <c r="A23" s="2" t="inlineStr">
        <is>
          <t>PCNTT022</t>
        </is>
      </c>
      <c r="B23" s="2" t="inlineStr">
        <is>
          <t>Làm thế nào để sinh viên xem được kết quả học tập theo từng học kỳ?</t>
        </is>
      </c>
      <c r="C23" s="2" t="inlineStr">
        <is>
          <t>2026.03.25.AI_HDSD TREN WEB SUPPORT SV.docx</t>
        </is>
      </c>
      <c r="D23" s="2" t="inlineStr">
        <is>
          <t>Mục I -&gt; 1 -&gt; 1.2</t>
        </is>
      </c>
      <c r="E23" s="2" t="inlineStr">
        <is>
          <t>Bước 1: Đăng nhập https://support.uneti.edu.vn. Bước 2: Chọn Module “Học tập” &gt; “Kết quả học tập”. Bước 3: Chọn học kỳ cần xem để hiển thị danh sách các môn học.</t>
        </is>
      </c>
      <c r="F23" s="2" t="inlineStr">
        <is>
          <t>Bước 1: Đăng nhập https://support.uneti.edu.vn. Bước 2: Chọn Module “Học tập” &gt; “Kết quả học tập”. Bước 3: Chọn học kỳ cần xem để hiển thị danh sách các môn học.; Từ khóa trọng tâm: cách xem điểm; link kết quả học tập; chọn học kỳ xem điểm</t>
        </is>
      </c>
      <c r="G23" s="2" t="inlineStr">
        <is>
          <t>cách xem điểm, link kết quả học tập, chọn học kỳ xem điểm</t>
        </is>
      </c>
      <c r="H23"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23" s="2" t="inlineStr"/>
      <c r="J23" s="2" t="inlineStr"/>
      <c r="K23" s="2" t="inlineStr"/>
      <c r="L23" s="2" t="inlineStr"/>
      <c r="M23" s="2" t="inlineStr"/>
      <c r="N23" s="2" t="inlineStr"/>
      <c r="O23" s="2" t="inlineStr"/>
      <c r="P23" s="2">
        <f>SUM(K23:O23)</f>
        <v/>
      </c>
      <c r="Q23" s="2" t="inlineStr"/>
      <c r="R23" s="2" t="inlineStr"/>
      <c r="S23" s="2" t="inlineStr"/>
      <c r="T23" s="2" t="inlineStr"/>
      <c r="U23" s="2" t="inlineStr"/>
      <c r="V23" s="2" t="inlineStr"/>
      <c r="W23" s="2" t="inlineStr"/>
      <c r="X23" s="2" t="inlineStr"/>
      <c r="Y23" s="2">
        <f>SUM(T23:X23)</f>
        <v/>
      </c>
      <c r="Z23" s="2" t="inlineStr"/>
      <c r="AA23" s="2">
        <f>IF(P23&gt;Y23,"Bot 1",IF(Y23&gt;P23,"Bot 2","Hòa"))</f>
        <v/>
      </c>
      <c r="AB23" s="2">
        <f>ABS(P23-Y23)</f>
        <v/>
      </c>
      <c r="AC23" s="2" t="inlineStr"/>
    </row>
    <row r="24">
      <c r="A24" s="2" t="inlineStr">
        <is>
          <t>PCNTT023</t>
        </is>
      </c>
      <c r="B24" s="2" t="inlineStr">
        <is>
          <t>Tôi muốn xem chi tiết các đầu điểm thành phần (điểm chuyên cần, kiểm tra) của một môn học thì làm thế nào?</t>
        </is>
      </c>
      <c r="C24" s="2" t="inlineStr">
        <is>
          <t>2026.03.25.AI_HDSD TREN WEB SUPPORT SV.docx</t>
        </is>
      </c>
      <c r="D24" s="2" t="inlineStr">
        <is>
          <t>Mục I -&gt; 1 -&gt; 1.2</t>
        </is>
      </c>
      <c r="E24" s="2" t="inlineStr">
        <is>
          <t>Tại màn hình Kết quả học tập, bạn tìm môn học cần kiểm tra và nhấn nút "Xem chi tiết" ở cột thao tác. Hệ thống sẽ hiển thị cụ thể tất cả các điểm thành phần của môn học đó.</t>
        </is>
      </c>
      <c r="F24" s="2" t="inlineStr">
        <is>
          <t>Tại màn hình Kết quả học tập, bạn tìm môn học cần kiểm tra và nhấn nút "Xem chi tiết" ở cột thao tác. Hệ thống sẽ hiển thị cụ thể tất cả các điểm thành phần của môn học đó.; Từ khóa trọng tâm: điểm chuyên cần; điểm kiểm tra; điểm thành phần môn học; xem chi tiết</t>
        </is>
      </c>
      <c r="G24" s="2" t="inlineStr">
        <is>
          <t>điểm chuyên cần, điểm kiểm tra, điểm thành phần môn học, xem chi tiết</t>
        </is>
      </c>
      <c r="H24"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24" s="2" t="inlineStr"/>
      <c r="J24" s="2" t="inlineStr"/>
      <c r="K24" s="2" t="inlineStr"/>
      <c r="L24" s="2" t="inlineStr"/>
      <c r="M24" s="2" t="inlineStr"/>
      <c r="N24" s="2" t="inlineStr"/>
      <c r="O24" s="2" t="inlineStr"/>
      <c r="P24" s="2">
        <f>SUM(K24:O24)</f>
        <v/>
      </c>
      <c r="Q24" s="2" t="inlineStr"/>
      <c r="R24" s="2" t="inlineStr"/>
      <c r="S24" s="2" t="inlineStr"/>
      <c r="T24" s="2" t="inlineStr"/>
      <c r="U24" s="2" t="inlineStr"/>
      <c r="V24" s="2" t="inlineStr"/>
      <c r="W24" s="2" t="inlineStr"/>
      <c r="X24" s="2" t="inlineStr"/>
      <c r="Y24" s="2">
        <f>SUM(T24:X24)</f>
        <v/>
      </c>
      <c r="Z24" s="2" t="inlineStr"/>
      <c r="AA24" s="2">
        <f>IF(P24&gt;Y24,"Bot 1",IF(Y24&gt;P24,"Bot 2","Hòa"))</f>
        <v/>
      </c>
      <c r="AB24" s="2">
        <f>ABS(P24-Y24)</f>
        <v/>
      </c>
      <c r="AC24" s="2" t="inlineStr"/>
    </row>
    <row r="25">
      <c r="A25" s="2" t="inlineStr">
        <is>
          <t>PCNTT024</t>
        </is>
      </c>
      <c r="B25" s="2" t="inlineStr">
        <is>
          <t>Làm cách nào để sinh viên kiểm tra Lịch học và Lịch thi của mình?</t>
        </is>
      </c>
      <c r="C25" s="2" t="inlineStr">
        <is>
          <t>2026.03.25.AI_HDSD TREN WEB SUPPORT SV.docx</t>
        </is>
      </c>
      <c r="D25" s="2" t="inlineStr">
        <is>
          <t>Mục I -&gt; 2 -&gt; 2.1</t>
        </is>
      </c>
      <c r="E25" s="2" t="inlineStr">
        <is>
          <t>Bước 1: Đăng nhập hệ thống cá nhân. Bước 2: Chọn Module “Học tập” &gt; “Lịch học – Lịch thi” hoặc truy cập đường dẫn trực tiếp: https://support.uneti.edu.vn/hoc-tap/lich-hoc-lich-thi.</t>
        </is>
      </c>
      <c r="F25" s="2" t="inlineStr">
        <is>
          <t>Bước 1: Đăng nhập hệ thống cá nhân. Bước 2: Chọn Module “Học tập” &gt; “Lịch học – Lịch thi” hoặc truy cập đường dẫn trực tiếp: https://support.uneti.edu.vn/hoc-tap/lich-hoc-lich-thi.; Từ khóa trọng tâm: xem lịch học; lịch thi; thời khóa biểu; link lịch học lịch thi</t>
        </is>
      </c>
      <c r="G25" s="2" t="inlineStr">
        <is>
          <t>xem lịch học, lịch thi, thời khóa biểu, link lịch học lịch thi</t>
        </is>
      </c>
      <c r="H25"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25" s="2" t="inlineStr"/>
      <c r="J25" s="2" t="inlineStr"/>
      <c r="K25" s="2" t="inlineStr"/>
      <c r="L25" s="2" t="inlineStr"/>
      <c r="M25" s="2" t="inlineStr"/>
      <c r="N25" s="2" t="inlineStr"/>
      <c r="O25" s="2" t="inlineStr"/>
      <c r="P25" s="2">
        <f>SUM(K25:O25)</f>
        <v/>
      </c>
      <c r="Q25" s="2" t="inlineStr"/>
      <c r="R25" s="2" t="inlineStr"/>
      <c r="S25" s="2" t="inlineStr"/>
      <c r="T25" s="2" t="inlineStr"/>
      <c r="U25" s="2" t="inlineStr"/>
      <c r="V25" s="2" t="inlineStr"/>
      <c r="W25" s="2" t="inlineStr"/>
      <c r="X25" s="2" t="inlineStr"/>
      <c r="Y25" s="2">
        <f>SUM(T25:X25)</f>
        <v/>
      </c>
      <c r="Z25" s="2" t="inlineStr"/>
      <c r="AA25" s="2">
        <f>IF(P25&gt;Y25,"Bot 1",IF(Y25&gt;P25,"Bot 2","Hòa"))</f>
        <v/>
      </c>
      <c r="AB25" s="2">
        <f>ABS(P25-Y25)</f>
        <v/>
      </c>
      <c r="AC25" s="2" t="inlineStr"/>
    </row>
    <row r="26">
      <c r="A26" s="2" t="inlineStr">
        <is>
          <t>PCNTT025</t>
        </is>
      </c>
      <c r="B26" s="2" t="inlineStr">
        <is>
          <t>Trên màn hình Lịch học - Lịch thi, sinh viên có thể xem thông tin theo những hình thức nào?</t>
        </is>
      </c>
      <c r="C26" s="2" t="inlineStr">
        <is>
          <t>2026.03.25.AI_HDSD TREN WEB SUPPORT SV.docx</t>
        </is>
      </c>
      <c r="D26" s="2" t="inlineStr">
        <is>
          <t>Mục I -&gt; 2 -&gt; 2.2</t>
        </is>
      </c>
      <c r="E26" s="2" t="inlineStr">
        <is>
          <t>Sinh viên có thể linh hoạt chọn xem lịch hiển thị theo 2 hình thức giao diện: hiển thị theo dạng "Danh sách" (liệt kê tuyến tính) hoặc dạng "Lịch tuần" (trực quan theo thứ ngày).</t>
        </is>
      </c>
      <c r="F26" s="2" t="inlineStr">
        <is>
          <t>Sinh viên có thể linh hoạt chọn xem lịch hiển thị theo 2 hình thức giao diện: hiển thị theo dạng "Danh sách" (liệt kê tuyến tính) hoặc dạng "Lịch tuần" (trực quan theo thứ ngày).; Từ khóa trọng tâm: lịch tuần; dạng danh sách; giao diện lịch học; thời khóa biểu tuần</t>
        </is>
      </c>
      <c r="G26" s="2" t="inlineStr">
        <is>
          <t>lịch tuần, dạng danh sách, giao diện lịch học, thời khóa biểu tuần</t>
        </is>
      </c>
      <c r="H26"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26" s="2" t="inlineStr"/>
      <c r="J26" s="2" t="inlineStr"/>
      <c r="K26" s="2" t="inlineStr"/>
      <c r="L26" s="2" t="inlineStr"/>
      <c r="M26" s="2" t="inlineStr"/>
      <c r="N26" s="2" t="inlineStr"/>
      <c r="O26" s="2" t="inlineStr"/>
      <c r="P26" s="2">
        <f>SUM(K26:O26)</f>
        <v/>
      </c>
      <c r="Q26" s="2" t="inlineStr"/>
      <c r="R26" s="2" t="inlineStr"/>
      <c r="S26" s="2" t="inlineStr"/>
      <c r="T26" s="2" t="inlineStr"/>
      <c r="U26" s="2" t="inlineStr"/>
      <c r="V26" s="2" t="inlineStr"/>
      <c r="W26" s="2" t="inlineStr"/>
      <c r="X26" s="2" t="inlineStr"/>
      <c r="Y26" s="2">
        <f>SUM(T26:X26)</f>
        <v/>
      </c>
      <c r="Z26" s="2" t="inlineStr"/>
      <c r="AA26" s="2">
        <f>IF(P26&gt;Y26,"Bot 1",IF(Y26&gt;P26,"Bot 2","Hòa"))</f>
        <v/>
      </c>
      <c r="AB26" s="2">
        <f>ABS(P26-Y26)</f>
        <v/>
      </c>
      <c r="AC26" s="2" t="inlineStr"/>
    </row>
    <row r="27">
      <c r="A27" s="2" t="inlineStr">
        <is>
          <t>PCNTT026</t>
        </is>
      </c>
      <c r="B27" s="2" t="inlineStr">
        <is>
          <t>Làm thế nào để xem lịch học/lịch thi của một tuần bất kỳ trong năm học?</t>
        </is>
      </c>
      <c r="C27" s="2" t="inlineStr">
        <is>
          <t>2026.03.25.AI_HDSD TREN WEB SUPPORT SV.docx</t>
        </is>
      </c>
      <c r="D27" s="2" t="inlineStr">
        <is>
          <t>Mục I -&gt; 2 -&gt; 2.2</t>
        </is>
      </c>
      <c r="E27" s="2" t="inlineStr">
        <is>
          <t>Bạn sử dụng bộ lọc "Tuần học" ở phía trên màn hình, nhấn chọn khoảng thời gian tuần cần tra cứu. Hệ thống sẽ tự động cập nhật thời khóa biểu và lịch thi của tuần đó.</t>
        </is>
      </c>
      <c r="F27" s="2" t="inlineStr">
        <is>
          <t>Bạn sử dụng bộ lọc "Tuần học" ở phía trên màn hình, nhấn chọn khoảng thời gian tuần cần tra cứu. Hệ thống sẽ tự động cập nhật thời khóa biểu và lịch thi của tuần đó.; Từ khóa trọng tâm: đổi tuần học; chọn tuần thi; xem lịch tuần tới; bộ lọc tuần</t>
        </is>
      </c>
      <c r="G27" s="2" t="inlineStr">
        <is>
          <t>đổi tuần học, chọn tuần thi, xem lịch tuần tới, bộ lọc tuần</t>
        </is>
      </c>
      <c r="H27"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27" s="2" t="inlineStr"/>
      <c r="J27" s="2" t="inlineStr"/>
      <c r="K27" s="2" t="inlineStr"/>
      <c r="L27" s="2" t="inlineStr"/>
      <c r="M27" s="2" t="inlineStr"/>
      <c r="N27" s="2" t="inlineStr"/>
      <c r="O27" s="2" t="inlineStr"/>
      <c r="P27" s="2">
        <f>SUM(K27:O27)</f>
        <v/>
      </c>
      <c r="Q27" s="2" t="inlineStr"/>
      <c r="R27" s="2" t="inlineStr"/>
      <c r="S27" s="2" t="inlineStr"/>
      <c r="T27" s="2" t="inlineStr"/>
      <c r="U27" s="2" t="inlineStr"/>
      <c r="V27" s="2" t="inlineStr"/>
      <c r="W27" s="2" t="inlineStr"/>
      <c r="X27" s="2" t="inlineStr"/>
      <c r="Y27" s="2">
        <f>SUM(T27:X27)</f>
        <v/>
      </c>
      <c r="Z27" s="2" t="inlineStr"/>
      <c r="AA27" s="2">
        <f>IF(P27&gt;Y27,"Bot 1",IF(Y27&gt;P27,"Bot 2","Hòa"))</f>
        <v/>
      </c>
      <c r="AB27" s="2">
        <f>ABS(P27-Y27)</f>
        <v/>
      </c>
      <c r="AC27" s="2" t="inlineStr"/>
    </row>
    <row r="28">
      <c r="A28" s="2" t="inlineStr">
        <is>
          <t>PCNTT027</t>
        </is>
      </c>
      <c r="B28" s="2" t="inlineStr">
        <is>
          <t>Sinh viên có thể lọc xem riêng "Lịch học" hoặc riêng "Lịch thi" được không?</t>
        </is>
      </c>
      <c r="C28" s="2" t="inlineStr">
        <is>
          <t>2026.03.25.AI_HDSD TREN WEB SUPPORT SV.docx</t>
        </is>
      </c>
      <c r="D28" s="2" t="inlineStr">
        <is>
          <t>Mục I -&gt; 2 -&gt; 2.2</t>
        </is>
      </c>
      <c r="E28" s="2" t="inlineStr">
        <is>
          <t>Có. Hệ thống cung cấp bộ lọc "Loại lịch". Bạn có thể tích chọn xem "Tất cả", hoặc lọc riêng "Lịch học" để đi học, hoặc chọn "Lịch thi" để theo dõi lịch thi cử của mình.</t>
        </is>
      </c>
      <c r="F28" s="2" t="inlineStr">
        <is>
          <t>Có. Hệ thống cung cấp bộ lọc "Loại lịch". Bạn có thể tích chọn xem "Tất cả", hoặc lọc riêng "Lịch học" để đi học, hoặc chọn "Lịch thi" để theo dõi lịch thi cử của mình.; Từ khóa trọng tâm: lọc lịch thi; lọc lịch học; loại lịch; tìm lịch thi</t>
        </is>
      </c>
      <c r="G28" s="2" t="inlineStr">
        <is>
          <t>lọc lịch thi, lọc lịch học, loại lịch, tìm lịch thi</t>
        </is>
      </c>
      <c r="H28"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28" s="2" t="inlineStr"/>
      <c r="J28" s="2" t="inlineStr"/>
      <c r="K28" s="2" t="inlineStr"/>
      <c r="L28" s="2" t="inlineStr"/>
      <c r="M28" s="2" t="inlineStr"/>
      <c r="N28" s="2" t="inlineStr"/>
      <c r="O28" s="2" t="inlineStr"/>
      <c r="P28" s="2">
        <f>SUM(K28:O28)</f>
        <v/>
      </c>
      <c r="Q28" s="2" t="inlineStr"/>
      <c r="R28" s="2" t="inlineStr"/>
      <c r="S28" s="2" t="inlineStr"/>
      <c r="T28" s="2" t="inlineStr"/>
      <c r="U28" s="2" t="inlineStr"/>
      <c r="V28" s="2" t="inlineStr"/>
      <c r="W28" s="2" t="inlineStr"/>
      <c r="X28" s="2" t="inlineStr"/>
      <c r="Y28" s="2">
        <f>SUM(T28:X28)</f>
        <v/>
      </c>
      <c r="Z28" s="2" t="inlineStr"/>
      <c r="AA28" s="2">
        <f>IF(P28&gt;Y28,"Bot 1",IF(Y28&gt;P28,"Bot 2","Hòa"))</f>
        <v/>
      </c>
      <c r="AB28" s="2">
        <f>ABS(P28-Y28)</f>
        <v/>
      </c>
      <c r="AC28" s="2" t="inlineStr"/>
    </row>
    <row r="29">
      <c r="A29" s="2" t="inlineStr">
        <is>
          <t>PCNTT028</t>
        </is>
      </c>
      <c r="B29" s="2" t="inlineStr">
        <is>
          <t>Chức năng "Khảo sát" trên hệ thống UNETI Online nhằm mục đích gì?</t>
        </is>
      </c>
      <c r="C29" s="2" t="inlineStr">
        <is>
          <t>2026.03.25.AI_HDSD TREN WEB SUPPORT SV.docx</t>
        </is>
      </c>
      <c r="D29" s="2" t="inlineStr">
        <is>
          <t>Mục II -&gt; 1</t>
        </is>
      </c>
      <c r="E29" s="2" t="inlineStr">
        <is>
          <t>Chức năng này là kênh để sinh viên đóng góp ý kiến, phản hồi về chất lượng giảng dạy, dịch vụ hỗ trợ và các hoạt động chung của Nhà trường, giúp cải tiến chất lượng quản lý.</t>
        </is>
      </c>
      <c r="F29" s="2" t="inlineStr">
        <is>
          <t>Chức năng này là kênh để sinh viên đóng góp ý kiến, phản hồi về chất lượng giảng dạy, dịch vụ hỗ trợ và các hoạt động chung của Nhà trường, giúp cải tiến chất lượng quản lý.; Từ khóa trọng tâm: khảo sát sinh viên; lấy ý kiến sinh viên; phản hồi chất lượng</t>
        </is>
      </c>
      <c r="G29" s="2" t="inlineStr">
        <is>
          <t>khảo sát sinh viên, lấy ý kiến sinh viên, phản hồi chất lượng</t>
        </is>
      </c>
      <c r="H29" s="2" t="inlineStr">
        <is>
          <t>trả lời không có căn cứ khi đáp án chuẩn có thông tin; nguồn không liên quan; cán bộ giảng viên nếu câu hỏi chỉ dành cho sinh viên; nguồn CBGV sai đối tượng</t>
        </is>
      </c>
      <c r="I29" s="2" t="inlineStr"/>
      <c r="J29" s="2" t="inlineStr"/>
      <c r="K29" s="2" t="inlineStr"/>
      <c r="L29" s="2" t="inlineStr"/>
      <c r="M29" s="2" t="inlineStr"/>
      <c r="N29" s="2" t="inlineStr"/>
      <c r="O29" s="2" t="inlineStr"/>
      <c r="P29" s="2">
        <f>SUM(K29:O29)</f>
        <v/>
      </c>
      <c r="Q29" s="2" t="inlineStr"/>
      <c r="R29" s="2" t="inlineStr"/>
      <c r="S29" s="2" t="inlineStr"/>
      <c r="T29" s="2" t="inlineStr"/>
      <c r="U29" s="2" t="inlineStr"/>
      <c r="V29" s="2" t="inlineStr"/>
      <c r="W29" s="2" t="inlineStr"/>
      <c r="X29" s="2" t="inlineStr"/>
      <c r="Y29" s="2">
        <f>SUM(T29:X29)</f>
        <v/>
      </c>
      <c r="Z29" s="2" t="inlineStr"/>
      <c r="AA29" s="2">
        <f>IF(P29&gt;Y29,"Bot 1",IF(Y29&gt;P29,"Bot 2","Hòa"))</f>
        <v/>
      </c>
      <c r="AB29" s="2">
        <f>ABS(P29-Y29)</f>
        <v/>
      </c>
      <c r="AC29" s="2" t="inlineStr"/>
    </row>
    <row r="30">
      <c r="A30" s="2" t="inlineStr">
        <is>
          <t>PCNTT029</t>
        </is>
      </c>
      <c r="B30" s="2" t="inlineStr">
        <is>
          <t>Có mấy loại phiếu khảo sát trên hệ thống và sự khác biệt là gì?</t>
        </is>
      </c>
      <c r="C30" s="2" t="inlineStr">
        <is>
          <t>2026.03.25.AI_HDSD TREN WEB SUPPORT SV.docx</t>
        </is>
      </c>
      <c r="D30" s="2" t="inlineStr">
        <is>
          <t>Mục II -&gt; 1</t>
        </is>
      </c>
      <c r="E30" s="2" t="inlineStr">
        <is>
          <t>Có 2 loại: Khảo sát Nội bộ (yêu cầu đăng nhập tài khoản sinh viên, hiển thị theo đợt) và Khảo sát Bên ngoài (không cần đăng nhập, truy cập qua link/mã QR công khai).</t>
        </is>
      </c>
      <c r="F30" s="2" t="inlineStr">
        <is>
          <t>Có 2 loại: Khảo sát Nội bộ (yêu cầu đăng nhập tài khoản sinh viên, hiển thị theo đợt) và Khảo sát Bên ngoài (không cần đăng nhập, truy cập qua link/mã QR công khai).; Từ khóa trọng tâm: loại khảo sát; khảo sát nội bộ; khảo sát bên ngoài; mã qr</t>
        </is>
      </c>
      <c r="G30" s="2" t="inlineStr">
        <is>
          <t>loại khảo sát, khảo sát nội bộ, khảo sát bên ngoài, mã qr</t>
        </is>
      </c>
      <c r="H30" s="2" t="inlineStr">
        <is>
          <t>trả lời không có căn cứ khi đáp án chuẩn có thông tin; nguồn không liên quan; cán bộ giảng viên nếu câu hỏi chỉ dành cho sinh viên; nguồn CBGV sai đối tượng</t>
        </is>
      </c>
      <c r="I30" s="2" t="inlineStr"/>
      <c r="J30" s="2" t="inlineStr"/>
      <c r="K30" s="2" t="inlineStr"/>
      <c r="L30" s="2" t="inlineStr"/>
      <c r="M30" s="2" t="inlineStr"/>
      <c r="N30" s="2" t="inlineStr"/>
      <c r="O30" s="2" t="inlineStr"/>
      <c r="P30" s="2">
        <f>SUM(K30:O30)</f>
        <v/>
      </c>
      <c r="Q30" s="2" t="inlineStr"/>
      <c r="R30" s="2" t="inlineStr"/>
      <c r="S30" s="2" t="inlineStr"/>
      <c r="T30" s="2" t="inlineStr"/>
      <c r="U30" s="2" t="inlineStr"/>
      <c r="V30" s="2" t="inlineStr"/>
      <c r="W30" s="2" t="inlineStr"/>
      <c r="X30" s="2" t="inlineStr"/>
      <c r="Y30" s="2">
        <f>SUM(T30:X30)</f>
        <v/>
      </c>
      <c r="Z30" s="2" t="inlineStr"/>
      <c r="AA30" s="2">
        <f>IF(P30&gt;Y30,"Bot 1",IF(Y30&gt;P30,"Bot 2","Hòa"))</f>
        <v/>
      </c>
      <c r="AB30" s="2">
        <f>ABS(P30-Y30)</f>
        <v/>
      </c>
      <c r="AC30" s="2" t="inlineStr"/>
    </row>
    <row r="31">
      <c r="A31" s="2" t="inlineStr">
        <is>
          <t>PCNTT030</t>
        </is>
      </c>
      <c r="B31" s="2" t="inlineStr">
        <is>
          <t>Quy trình tham gia một phiếu Khảo sát Nội bộ như thế nào?</t>
        </is>
      </c>
      <c r="C31" s="2" t="inlineStr">
        <is>
          <t>2026.03.25.AI_HDSD TREN WEB SUPPORT SV.docx</t>
        </is>
      </c>
      <c r="D31" s="2" t="inlineStr">
        <is>
          <t>Mục II -&gt; 2</t>
        </is>
      </c>
      <c r="E31" s="2" t="inlineStr">
        <is>
          <t>Bước 1: Đăng nhập https://support.uneti.edu.vn. Bước 2: Vào mục “Khảo sát” &gt; chọn phiếu khảo sát hiển thị trên màn hình. Bước 3: Trả lời đầy đủ các câu hỏi và nhấn “Nộp khảo sát”.</t>
        </is>
      </c>
      <c r="F31" s="2" t="inlineStr">
        <is>
          <t>Bước 1: Đăng nhập https://support.uneti.edu.vn. Bước 2: Vào mục “Khảo sát” &gt; chọn phiếu khảo sát hiển thị trên màn hình. Bước 3: Trả lời đầy đủ các câu hỏi và nhấn “Nộp khảo sát”.; Từ khóa trọng tâm: các bước khảo sát; cách làm khảo sát; nộp phiếu khảo sát nội bộ</t>
        </is>
      </c>
      <c r="G31" s="2" t="inlineStr">
        <is>
          <t>các bước khảo sát, cách làm khảo sát, nộp phiếu khảo sát nội bộ</t>
        </is>
      </c>
      <c r="H31" s="2" t="inlineStr">
        <is>
          <t>trả lời không có căn cứ khi đáp án chuẩn có thông tin; nguồn không liên quan; cán bộ giảng viên nếu câu hỏi chỉ dành cho sinh viên; nguồn CBGV sai đối tượng</t>
        </is>
      </c>
      <c r="I31" s="2" t="inlineStr"/>
      <c r="J31" s="2" t="inlineStr"/>
      <c r="K31" s="2" t="inlineStr"/>
      <c r="L31" s="2" t="inlineStr"/>
      <c r="M31" s="2" t="inlineStr"/>
      <c r="N31" s="2" t="inlineStr"/>
      <c r="O31" s="2" t="inlineStr"/>
      <c r="P31" s="2">
        <f>SUM(K31:O31)</f>
        <v/>
      </c>
      <c r="Q31" s="2" t="inlineStr"/>
      <c r="R31" s="2" t="inlineStr"/>
      <c r="S31" s="2" t="inlineStr"/>
      <c r="T31" s="2" t="inlineStr"/>
      <c r="U31" s="2" t="inlineStr"/>
      <c r="V31" s="2" t="inlineStr"/>
      <c r="W31" s="2" t="inlineStr"/>
      <c r="X31" s="2" t="inlineStr"/>
      <c r="Y31" s="2">
        <f>SUM(T31:X31)</f>
        <v/>
      </c>
      <c r="Z31" s="2" t="inlineStr"/>
      <c r="AA31" s="2">
        <f>IF(P31&gt;Y31,"Bot 1",IF(Y31&gt;P31,"Bot 2","Hòa"))</f>
        <v/>
      </c>
      <c r="AB31" s="2">
        <f>ABS(P31-Y31)</f>
        <v/>
      </c>
      <c r="AC31" s="2" t="inlineStr"/>
    </row>
    <row r="32">
      <c r="A32" s="2" t="inlineStr">
        <is>
          <t>PCNTT031</t>
        </is>
      </c>
      <c r="B32" s="2" t="inlineStr">
        <is>
          <t>Tại sao tôi vừa đăng nhập vào Web Support đã bị chặn màn hình và bắt làm khảo sát?</t>
        </is>
      </c>
      <c r="C32" s="2" t="inlineStr">
        <is>
          <t>2026.03.25.AI_HDSD TREN WEB SUPPORT SV.docx</t>
        </is>
      </c>
      <c r="D32" s="2" t="inlineStr">
        <is>
          <t>Mục II -&gt; 2</t>
        </is>
      </c>
      <c r="E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F32" s="2" t="inlineStr">
        <is>
          <t>Do Nhà trường đang có đợt khảo sát nội bộ bắt buộc. Hệ thống sẽ tự động chuyển hướng bạn sang phiếu khảo sát này; bạn phải hoàn thành và nộp phiếu mới có thể sử dụng tiếp các chức năng khác.; Từ khóa trọng tâm: bị chặn màn hình; lỗi khảo sát bắt buộc; không bấm được menu</t>
        </is>
      </c>
      <c r="G32" s="2" t="inlineStr">
        <is>
          <t>bị chặn màn hình, lỗi khảo sát bắt buộc, không bấm được menu</t>
        </is>
      </c>
      <c r="H32" s="2" t="inlineStr">
        <is>
          <t>trả lời không có căn cứ khi đáp án chuẩn có thông tin; nguồn không liên quan; cán bộ giảng viên nếu câu hỏi chỉ dành cho sinh viên; nguồn CBGV sai đối tượng</t>
        </is>
      </c>
      <c r="I32" s="2" t="inlineStr"/>
      <c r="J32" s="2" t="inlineStr"/>
      <c r="K32" s="2" t="inlineStr"/>
      <c r="L32" s="2" t="inlineStr"/>
      <c r="M32" s="2" t="inlineStr"/>
      <c r="N32" s="2" t="inlineStr"/>
      <c r="O32" s="2" t="inlineStr"/>
      <c r="P32" s="2">
        <f>SUM(K32:O32)</f>
        <v/>
      </c>
      <c r="Q32" s="2" t="inlineStr"/>
      <c r="R32" s="2" t="inlineStr"/>
      <c r="S32" s="2" t="inlineStr"/>
      <c r="T32" s="2" t="inlineStr"/>
      <c r="U32" s="2" t="inlineStr"/>
      <c r="V32" s="2" t="inlineStr"/>
      <c r="W32" s="2" t="inlineStr"/>
      <c r="X32" s="2" t="inlineStr"/>
      <c r="Y32" s="2">
        <f>SUM(T32:X32)</f>
        <v/>
      </c>
      <c r="Z32" s="2" t="inlineStr"/>
      <c r="AA32" s="2">
        <f>IF(P32&gt;Y32,"Bot 1",IF(Y32&gt;P32,"Bot 2","Hòa"))</f>
        <v/>
      </c>
      <c r="AB32" s="2">
        <f>ABS(P32-Y32)</f>
        <v/>
      </c>
      <c r="AC32" s="2" t="inlineStr"/>
    </row>
    <row r="33">
      <c r="A33" s="2" t="inlineStr">
        <is>
          <t>PCNTT032</t>
        </is>
      </c>
      <c r="B33" s="2" t="inlineStr">
        <is>
          <t>Đối tượng nào có thể tham gia "Khảo sát Bên ngoài" và truy cập bằng cách nào?</t>
        </is>
      </c>
      <c r="C33" s="2" t="inlineStr">
        <is>
          <t>2026.03.25.AI_HDSD TREN WEB SUPPORT SV.docx</t>
        </is>
      </c>
      <c r="D33" s="2" t="inlineStr">
        <is>
          <t>Mục II -&gt; 3</t>
        </is>
      </c>
      <c r="E33" s="2" t="inlineStr">
        <is>
          <t>Khảo sát bên ngoài dành cho người dùng không có tài khoản UNETI hoặc đợt khảo sát mở rộng. Bạn truy cập qua liên kết do trường cung cấp qua Email, Website, Tin nhắn hoặc quét mã QR.</t>
        </is>
      </c>
      <c r="F33" s="2" t="inlineStr">
        <is>
          <t>Khảo sát bên ngoài dành cho người dùng không có tài khoản UNETI hoặc đợt khảo sát mở rộng. Bạn truy cập qua liên kết do trường cung cấp qua Email, Website, Tin nhắn hoặc quét mã QR.; Từ khóa trọng tâm: quét mã qr khảo sát; link khảo sát bên ngoài; không cần đăng nhập</t>
        </is>
      </c>
      <c r="G33" s="2" t="inlineStr">
        <is>
          <t>quét mã qr khảo sát, link khảo sát bên ngoài, không cần đăng nhập</t>
        </is>
      </c>
      <c r="H33"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33" s="2" t="inlineStr"/>
      <c r="J33" s="2" t="inlineStr"/>
      <c r="K33" s="2" t="inlineStr"/>
      <c r="L33" s="2" t="inlineStr"/>
      <c r="M33" s="2" t="inlineStr"/>
      <c r="N33" s="2" t="inlineStr"/>
      <c r="O33" s="2" t="inlineStr"/>
      <c r="P33" s="2">
        <f>SUM(K33:O33)</f>
        <v/>
      </c>
      <c r="Q33" s="2" t="inlineStr"/>
      <c r="R33" s="2" t="inlineStr"/>
      <c r="S33" s="2" t="inlineStr"/>
      <c r="T33" s="2" t="inlineStr"/>
      <c r="U33" s="2" t="inlineStr"/>
      <c r="V33" s="2" t="inlineStr"/>
      <c r="W33" s="2" t="inlineStr"/>
      <c r="X33" s="2" t="inlineStr"/>
      <c r="Y33" s="2">
        <f>SUM(T33:X33)</f>
        <v/>
      </c>
      <c r="Z33" s="2" t="inlineStr"/>
      <c r="AA33" s="2">
        <f>IF(P33&gt;Y33,"Bot 1",IF(Y33&gt;P33,"Bot 2","Hòa"))</f>
        <v/>
      </c>
      <c r="AB33" s="2">
        <f>ABS(P33-Y33)</f>
        <v/>
      </c>
      <c r="AC33" s="2" t="inlineStr"/>
    </row>
    <row r="34">
      <c r="A34" s="2" t="inlineStr">
        <is>
          <t>PCNTT033</t>
        </is>
      </c>
      <c r="B34" s="2" t="inlineStr">
        <is>
          <t>Làm thế nào để nộp một phiếu Khảo sát Bên ngoài thành công?</t>
        </is>
      </c>
      <c r="C34" s="2" t="inlineStr">
        <is>
          <t>2026.03.25.AI_HDSD TREN WEB SUPPORT SV.docx</t>
        </is>
      </c>
      <c r="D34" s="2" t="inlineStr">
        <is>
          <t>Mục II -&gt; 3</t>
        </is>
      </c>
      <c r="E34" s="2" t="inlineStr">
        <is>
          <t>Bạn truy cập link/mã QR, điền đầy đủ thông tin cá nhân theo mẫu (Họ tên, Email, Lớp, Vai trò nếu có), trả lời các câu hỏi theo hướng dẫn và nhấn nút “Nộp khảo sát”.</t>
        </is>
      </c>
      <c r="F34" s="2" t="inlineStr">
        <is>
          <t>Bạn truy cập link/mã QR, điền đầy đủ thông tin cá nhân theo mẫu (Họ tên, Email, Lớp, Vai trò nếu có), trả lời các câu hỏi theo hướng dẫn và nhấn nút “Nộp khảo sát”.; Từ khóa trọng tâm: nộp khảo sát ngoài; điền thông tin cá nhân; hoàn thành phiếu</t>
        </is>
      </c>
      <c r="G34" s="2" t="inlineStr">
        <is>
          <t>nộp khảo sát ngoài, điền thông tin cá nhân, hoàn thành phiếu</t>
        </is>
      </c>
      <c r="H34"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34" s="2" t="inlineStr"/>
      <c r="J34" s="2" t="inlineStr"/>
      <c r="K34" s="2" t="inlineStr"/>
      <c r="L34" s="2" t="inlineStr"/>
      <c r="M34" s="2" t="inlineStr"/>
      <c r="N34" s="2" t="inlineStr"/>
      <c r="O34" s="2" t="inlineStr"/>
      <c r="P34" s="2">
        <f>SUM(K34:O34)</f>
        <v/>
      </c>
      <c r="Q34" s="2" t="inlineStr"/>
      <c r="R34" s="2" t="inlineStr"/>
      <c r="S34" s="2" t="inlineStr"/>
      <c r="T34" s="2" t="inlineStr"/>
      <c r="U34" s="2" t="inlineStr"/>
      <c r="V34" s="2" t="inlineStr"/>
      <c r="W34" s="2" t="inlineStr"/>
      <c r="X34" s="2" t="inlineStr"/>
      <c r="Y34" s="2">
        <f>SUM(T34:X34)</f>
        <v/>
      </c>
      <c r="Z34" s="2" t="inlineStr"/>
      <c r="AA34" s="2">
        <f>IF(P34&gt;Y34,"Bot 1",IF(Y34&gt;P34,"Bot 2","Hòa"))</f>
        <v/>
      </c>
      <c r="AB34" s="2">
        <f>ABS(P34-Y34)</f>
        <v/>
      </c>
      <c r="AC34" s="2" t="inlineStr"/>
    </row>
    <row r="35">
      <c r="A35" s="2" t="inlineStr">
        <is>
          <t>PCNTT034</t>
        </is>
      </c>
      <c r="B35" s="2" t="inlineStr">
        <is>
          <t>Sinh viên được làm một phiếu khảo sát tối đa bao nhiêu lần?</t>
        </is>
      </c>
      <c r="C35" s="2" t="inlineStr">
        <is>
          <t>2026.03.25.AI_HDSD TREN WEB SUPPORT SV.docx</t>
        </is>
      </c>
      <c r="D35" s="2" t="inlineStr">
        <is>
          <t>Mục II -&gt; 3</t>
        </is>
      </c>
      <c r="E35" s="2" t="inlineStr">
        <is>
          <t>Số lần tham gia phụ thuộc hoàn toàn vào quy định riêng của từng phiếu khảo sát. Có phiếu chỉ cho phép làm 1 lần duy nhất, có phiếu cho phép chỉnh sửa hoặc làm lại nhiều lần.</t>
        </is>
      </c>
      <c r="F35" s="2" t="inlineStr">
        <is>
          <t>Số lần tham gia phụ thuộc hoàn toàn vào quy định riêng của từng phiếu khảo sát. Có phiếu chỉ cho phép làm 1 lần duy nhất, có phiếu cho phép chỉnh sửa hoặc làm lại nhiều lần.; Từ khóa trọng tâm: làm khảo sát mấy lần; sửa phiếu khảo sát; giới hạn số lần làm</t>
        </is>
      </c>
      <c r="G35" s="2" t="inlineStr">
        <is>
          <t>làm khảo sát mấy lần, sửa phiếu khảo sát, giới hạn số lần làm</t>
        </is>
      </c>
      <c r="H35" s="2" t="inlineStr">
        <is>
          <t>trả lời không có căn cứ khi đáp án chuẩn có thông tin; nguồn không liên quan; cán bộ giảng viên nếu câu hỏi chỉ dành cho sinh viên; nguồn CBGV sai đối tượng</t>
        </is>
      </c>
      <c r="I35" s="2" t="inlineStr"/>
      <c r="J35" s="2" t="inlineStr"/>
      <c r="K35" s="2" t="inlineStr"/>
      <c r="L35" s="2" t="inlineStr"/>
      <c r="M35" s="2" t="inlineStr"/>
      <c r="N35" s="2" t="inlineStr"/>
      <c r="O35" s="2" t="inlineStr"/>
      <c r="P35" s="2">
        <f>SUM(K35:O35)</f>
        <v/>
      </c>
      <c r="Q35" s="2" t="inlineStr"/>
      <c r="R35" s="2" t="inlineStr"/>
      <c r="S35" s="2" t="inlineStr"/>
      <c r="T35" s="2" t="inlineStr"/>
      <c r="U35" s="2" t="inlineStr"/>
      <c r="V35" s="2" t="inlineStr"/>
      <c r="W35" s="2" t="inlineStr"/>
      <c r="X35" s="2" t="inlineStr"/>
      <c r="Y35" s="2">
        <f>SUM(T35:X35)</f>
        <v/>
      </c>
      <c r="Z35" s="2" t="inlineStr"/>
      <c r="AA35" s="2">
        <f>IF(P35&gt;Y35,"Bot 1",IF(Y35&gt;P35,"Bot 2","Hòa"))</f>
        <v/>
      </c>
      <c r="AB35" s="2">
        <f>ABS(P35-Y35)</f>
        <v/>
      </c>
      <c r="AC35" s="2" t="inlineStr"/>
    </row>
    <row r="36">
      <c r="A36" s="2" t="inlineStr">
        <is>
          <t>PCNTT035</t>
        </is>
      </c>
      <c r="B36" s="2" t="inlineStr">
        <is>
          <t>Mục đích của chức năng "Đánh giá thủ tục hành chính đã xử lý" là gì?</t>
        </is>
      </c>
      <c r="C36" s="2" t="inlineStr">
        <is>
          <t>2026.03.25.AI_HDSD TREN WEB SUPPORT SV.docx</t>
        </is>
      </c>
      <c r="D36" s="2" t="inlineStr">
        <is>
          <t>Mục III -&gt; 1</t>
        </is>
      </c>
      <c r="E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F36" s="2" t="inlineStr">
        <is>
          <t>Giúp sinh viên gửi phản hồi về mức độ hài lòng đối với các dịch vụ một cửa sau khi nhận kết quả hỗ trợ, làm cơ sở để Nhà trường theo dõi và nâng cao chất lượng phục vụ của các phòng ban.; Từ khóa trọng tâm: đánh giá một cửa; phản hồi thủ tục hành chính; mức độ hài lòng</t>
        </is>
      </c>
      <c r="G36" s="2" t="inlineStr">
        <is>
          <t>đánh giá một cửa, phản hồi thủ tục hành chính, mức độ hài lòng</t>
        </is>
      </c>
      <c r="H36"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36" s="2" t="inlineStr"/>
      <c r="J36" s="2" t="inlineStr"/>
      <c r="K36" s="2" t="inlineStr"/>
      <c r="L36" s="2" t="inlineStr"/>
      <c r="M36" s="2" t="inlineStr"/>
      <c r="N36" s="2" t="inlineStr"/>
      <c r="O36" s="2" t="inlineStr"/>
      <c r="P36" s="2">
        <f>SUM(K36:O36)</f>
        <v/>
      </c>
      <c r="Q36" s="2" t="inlineStr"/>
      <c r="R36" s="2" t="inlineStr"/>
      <c r="S36" s="2" t="inlineStr"/>
      <c r="T36" s="2" t="inlineStr"/>
      <c r="U36" s="2" t="inlineStr"/>
      <c r="V36" s="2" t="inlineStr"/>
      <c r="W36" s="2" t="inlineStr"/>
      <c r="X36" s="2" t="inlineStr"/>
      <c r="Y36" s="2">
        <f>SUM(T36:X36)</f>
        <v/>
      </c>
      <c r="Z36" s="2" t="inlineStr"/>
      <c r="AA36" s="2">
        <f>IF(P36&gt;Y36,"Bot 1",IF(Y36&gt;P36,"Bot 2","Hòa"))</f>
        <v/>
      </c>
      <c r="AB36" s="2">
        <f>ABS(P36-Y36)</f>
        <v/>
      </c>
      <c r="AC36" s="2" t="inlineStr"/>
    </row>
    <row r="37">
      <c r="A37" s="2" t="inlineStr">
        <is>
          <t>PCNTT036</t>
        </is>
      </c>
      <c r="B37" s="2" t="inlineStr">
        <is>
          <t>Thông tin cá nhân của sinh viên có bị lộ khi thực hiện đánh giá thủ tục một cửa không?</t>
        </is>
      </c>
      <c r="C37" s="2" t="inlineStr">
        <is>
          <t>2026.03.25.AI_HDSD TREN WEB SUPPORT SV.docx</t>
        </is>
      </c>
      <c r="D37" s="2" t="inlineStr">
        <is>
          <t>Mục III -&gt; 1</t>
        </is>
      </c>
      <c r="E37" s="2" t="inlineStr">
        <is>
          <t>Không. Nhà trường cam kết bảo mật hoàn toàn thông tin người đánh giá. Dữ liệu này chỉ phục vụ duy nhất cho công tác cải tiến chất lượng dịch vụ hành chính của trường.</t>
        </is>
      </c>
      <c r="F37" s="2" t="inlineStr">
        <is>
          <t>Không. Nhà trường cam kết bảo mật hoàn toàn thông tin người đánh giá. Dữ liệu này chỉ phục vụ duy nhất cho công tác cải tiến chất lượng dịch vụ hành chính của trường.; Từ khóa trọng tâm: bảo mật thông tin; ẩn danh đánh giá; có bị lộ tên không</t>
        </is>
      </c>
      <c r="G37" s="2" t="inlineStr">
        <is>
          <t>bảo mật thông tin, ẩn danh đánh giá, có bị lộ tên không</t>
        </is>
      </c>
      <c r="H37" s="2" t="inlineStr">
        <is>
          <t>trả lời không có căn cứ khi đáp án chuẩn có thông tin; nguồn không liên quan; cán bộ giảng viên nếu câu hỏi chỉ dành cho sinh viên; nguồn CBGV sai đối tượng</t>
        </is>
      </c>
      <c r="I37" s="2" t="inlineStr"/>
      <c r="J37" s="2" t="inlineStr"/>
      <c r="K37" s="2" t="inlineStr"/>
      <c r="L37" s="2" t="inlineStr"/>
      <c r="M37" s="2" t="inlineStr"/>
      <c r="N37" s="2" t="inlineStr"/>
      <c r="O37" s="2" t="inlineStr"/>
      <c r="P37" s="2">
        <f>SUM(K37:O37)</f>
        <v/>
      </c>
      <c r="Q37" s="2" t="inlineStr"/>
      <c r="R37" s="2" t="inlineStr"/>
      <c r="S37" s="2" t="inlineStr"/>
      <c r="T37" s="2" t="inlineStr"/>
      <c r="U37" s="2" t="inlineStr"/>
      <c r="V37" s="2" t="inlineStr"/>
      <c r="W37" s="2" t="inlineStr"/>
      <c r="X37" s="2" t="inlineStr"/>
      <c r="Y37" s="2">
        <f>SUM(T37:X37)</f>
        <v/>
      </c>
      <c r="Z37" s="2" t="inlineStr"/>
      <c r="AA37" s="2">
        <f>IF(P37&gt;Y37,"Bot 1",IF(Y37&gt;P37,"Bot 2","Hòa"))</f>
        <v/>
      </c>
      <c r="AB37" s="2">
        <f>ABS(P37-Y37)</f>
        <v/>
      </c>
      <c r="AC37" s="2" t="inlineStr"/>
    </row>
    <row r="38">
      <c r="A38" s="2" t="inlineStr">
        <is>
          <t>PCNTT037</t>
        </is>
      </c>
      <c r="B38" s="2" t="inlineStr">
        <is>
          <t>Làm thế nào để thực hiện đánh giá một yêu cầu thủ tục hành chính đã hoàn thành?</t>
        </is>
      </c>
      <c r="C38" s="2" t="inlineStr">
        <is>
          <t>2026.03.25.AI_HDSD TREN WEB SUPPORT SV.docx</t>
        </is>
      </c>
      <c r="D38" s="2" t="inlineStr">
        <is>
          <t>Mục III -&gt; 2</t>
        </is>
      </c>
      <c r="E38" s="2" t="inlineStr">
        <is>
          <t>Bước 1: Đăng nhập hệ thống. Bước 2: Chọn mục “Thủ tục hành chính" &gt; "Đánh giá – Thủ tục hành chính". Bước 3: Tìm yêu cầu, nhấn "Đánh giá" tại cột thao tác, chọn mức hài lòng và gửi.</t>
        </is>
      </c>
      <c r="F38" s="2" t="inlineStr">
        <is>
          <t>Bước 1: Đăng nhập hệ thống. Bước 2: Chọn mục “Thủ tục hành chính" &gt; "Đánh giá – Thủ tục hành chính". Bước 3: Tìm yêu cầu, nhấn "Đánh giá" tại cột thao tác, chọn mức hài lòng và gửi.; Từ khóa trọng tâm: link đánh giá thủ tục; các bước đánh giá một cửa; gửi phản hồi</t>
        </is>
      </c>
      <c r="G38" s="2" t="inlineStr">
        <is>
          <t>link đánh giá thủ tục, các bước đánh giá một cửa, gửi phản hồi</t>
        </is>
      </c>
      <c r="H38" s="2" t="inlineStr">
        <is>
          <t>trả lời không có căn cứ khi đáp án chuẩn có thông tin; nguồn không liên quan; cán bộ giảng viên nếu câu hỏi chỉ dành cho sinh viên; nguồn CBGV sai đối tượng; trả lời quy chế chung nhưng không nêu thao tác hệ thống</t>
        </is>
      </c>
      <c r="I38" s="2" t="inlineStr"/>
      <c r="J38" s="2" t="inlineStr"/>
      <c r="K38" s="2" t="inlineStr"/>
      <c r="L38" s="2" t="inlineStr"/>
      <c r="M38" s="2" t="inlineStr"/>
      <c r="N38" s="2" t="inlineStr"/>
      <c r="O38" s="2" t="inlineStr"/>
      <c r="P38" s="2">
        <f>SUM(K38:O38)</f>
        <v/>
      </c>
      <c r="Q38" s="2" t="inlineStr"/>
      <c r="R38" s="2" t="inlineStr"/>
      <c r="S38" s="2" t="inlineStr"/>
      <c r="T38" s="2" t="inlineStr"/>
      <c r="U38" s="2" t="inlineStr"/>
      <c r="V38" s="2" t="inlineStr"/>
      <c r="W38" s="2" t="inlineStr"/>
      <c r="X38" s="2" t="inlineStr"/>
      <c r="Y38" s="2">
        <f>SUM(T38:X38)</f>
        <v/>
      </c>
      <c r="Z38" s="2" t="inlineStr"/>
      <c r="AA38" s="2">
        <f>IF(P38&gt;Y38,"Bot 1",IF(Y38&gt;P38,"Bot 2","Hòa"))</f>
        <v/>
      </c>
      <c r="AB38" s="2">
        <f>ABS(P38-Y38)</f>
        <v/>
      </c>
      <c r="AC38" s="2" t="inlineStr"/>
    </row>
    <row r="39">
      <c r="A39" s="2" t="inlineStr">
        <is>
          <t>PCNTT038</t>
        </is>
      </c>
      <c r="B39" s="2" t="inlineStr">
        <is>
          <t>Sinh viên có tìm kiếm phiếu thủ tục cần đánh giá dựa trên những tiêu chí nào?</t>
        </is>
      </c>
      <c r="C39" s="2" t="inlineStr">
        <is>
          <t>2026.03.25.AI_HDSD TREN WEB SUPPORT SV.docx</t>
        </is>
      </c>
      <c r="D39" s="2" t="inlineStr">
        <is>
          <t>Mục III -&gt; 2</t>
        </is>
      </c>
      <c r="E39" s="2" t="inlineStr">
        <is>
          <t>Tại màn hình danh sách, bạn có thể sử dụng bộ lọc để tìm nhanh theo Nhóm thủ tục, lọc theo Tên thủ tục, lọc theo Trạng thái xử lý hoặc xem theo Ngày đề nghị đã gửi.</t>
        </is>
      </c>
      <c r="F39" s="2" t="inlineStr">
        <is>
          <t>Tại màn hình danh sách, bạn có thể sử dụng bộ lọc để tìm nhanh theo Nhóm thủ tục, lọc theo Tên thủ tục, lọc theo Trạng thái xử lý hoặc xem theo Ngày đề nghị đã gửi.; Từ khóa trọng tâm: tìm phiếu đánh giá; lọc nhóm thủ tục; trạng thái xử lý</t>
        </is>
      </c>
      <c r="G39" s="2" t="inlineStr">
        <is>
          <t>tìm phiếu đánh giá, lọc nhóm thủ tục, trạng thái xử lý</t>
        </is>
      </c>
      <c r="H39" s="2" t="inlineStr">
        <is>
          <t>trả lời không có căn cứ khi đáp án chuẩn có thông tin; nguồn không liên quan; cán bộ giảng viên nếu câu hỏi chỉ dành cho sinh viên; nguồn CBGV sai đối tượng</t>
        </is>
      </c>
      <c r="I39" s="2" t="inlineStr"/>
      <c r="J39" s="2" t="inlineStr"/>
      <c r="K39" s="2" t="inlineStr"/>
      <c r="L39" s="2" t="inlineStr"/>
      <c r="M39" s="2" t="inlineStr"/>
      <c r="N39" s="2" t="inlineStr"/>
      <c r="O39" s="2" t="inlineStr"/>
      <c r="P39" s="2">
        <f>SUM(K39:O39)</f>
        <v/>
      </c>
      <c r="Q39" s="2" t="inlineStr"/>
      <c r="R39" s="2" t="inlineStr"/>
      <c r="S39" s="2" t="inlineStr"/>
      <c r="T39" s="2" t="inlineStr"/>
      <c r="U39" s="2" t="inlineStr"/>
      <c r="V39" s="2" t="inlineStr"/>
      <c r="W39" s="2" t="inlineStr"/>
      <c r="X39" s="2" t="inlineStr"/>
      <c r="Y39" s="2">
        <f>SUM(T39:X39)</f>
        <v/>
      </c>
      <c r="Z39" s="2" t="inlineStr"/>
      <c r="AA39" s="2">
        <f>IF(P39&gt;Y39,"Bot 1",IF(Y39&gt;P39,"Bot 2","Hòa"))</f>
        <v/>
      </c>
      <c r="AB39" s="2">
        <f>ABS(P39-Y39)</f>
        <v/>
      </c>
      <c r="AC39" s="2" t="inlineStr"/>
    </row>
    <row r="40">
      <c r="A40" s="2" t="inlineStr">
        <is>
          <t>PCNTT039</t>
        </is>
      </c>
      <c r="B40" s="2" t="inlineStr">
        <is>
          <t>Chức năng đánh giá thủ tục một cửa cung cấp bao nhiêu mức độ hài lòng để sinh viên lựa chọn?</t>
        </is>
      </c>
      <c r="C40" s="2" t="inlineStr">
        <is>
          <t>2026.03.25.AI_HDSD TREN WEB SUPPORT SV.docx</t>
        </is>
      </c>
      <c r="D40" s="2" t="inlineStr">
        <is>
          <t>Mục III -&gt; 2</t>
        </is>
      </c>
      <c r="E40" s="2" t="inlineStr">
        <is>
          <t>Hệ thống cung cấp chính xác 05 mức độ hài lòng để sinh viên tích chọn đánh giá phù hợp với trải nghiệm thực tế của mình đối với dịch vụ nhận được.</t>
        </is>
      </c>
      <c r="F40" s="2" t="inlineStr">
        <is>
          <t>Hệ thống cung cấp chính xác 05 mức độ hài lòng để sinh viên tích chọn đánh giá phù hợp với trải nghiệm thực tế của mình đối với dịch vụ nhận được.; Từ khóa trọng tâm: 5 mức hài lòng; mức độ đánh giá; tích chọn độ hài lòng</t>
        </is>
      </c>
      <c r="G40" s="2" t="inlineStr">
        <is>
          <t>5 mức hài lòng, mức độ đánh giá, tích chọn độ hài lòng</t>
        </is>
      </c>
      <c r="H40" s="2" t="inlineStr">
        <is>
          <t>trả lời không có căn cứ khi đáp án chuẩn có thông tin; nguồn không liên quan; cán bộ giảng viên nếu câu hỏi chỉ dành cho sinh viên; nguồn CBGV sai đối tượng</t>
        </is>
      </c>
      <c r="I40" s="2" t="inlineStr"/>
      <c r="J40" s="2" t="inlineStr"/>
      <c r="K40" s="2" t="inlineStr"/>
      <c r="L40" s="2" t="inlineStr"/>
      <c r="M40" s="2" t="inlineStr"/>
      <c r="N40" s="2" t="inlineStr"/>
      <c r="O40" s="2" t="inlineStr"/>
      <c r="P40" s="2">
        <f>SUM(K40:O40)</f>
        <v/>
      </c>
      <c r="Q40" s="2" t="inlineStr"/>
      <c r="R40" s="2" t="inlineStr"/>
      <c r="S40" s="2" t="inlineStr"/>
      <c r="T40" s="2" t="inlineStr"/>
      <c r="U40" s="2" t="inlineStr"/>
      <c r="V40" s="2" t="inlineStr"/>
      <c r="W40" s="2" t="inlineStr"/>
      <c r="X40" s="2" t="inlineStr"/>
      <c r="Y40" s="2">
        <f>SUM(T40:X40)</f>
        <v/>
      </c>
      <c r="Z40" s="2" t="inlineStr"/>
      <c r="AA40" s="2">
        <f>IF(P40&gt;Y40,"Bot 1",IF(Y40&gt;P40,"Bot 2","Hòa"))</f>
        <v/>
      </c>
      <c r="AB40" s="2">
        <f>ABS(P40-Y40)</f>
        <v/>
      </c>
      <c r="AC40" s="2" t="inlineStr"/>
    </row>
    <row r="41">
      <c r="A41" s="2" t="inlineStr">
        <is>
          <t>PCNTT040</t>
        </is>
      </c>
      <c r="B41" s="2" t="inlineStr">
        <is>
          <t>Sinh viên có bắt buộc phải nhập ý kiến đóng góp bằng chữ khi đánh giá thủ tục không?</t>
        </is>
      </c>
      <c r="C41" s="2" t="inlineStr">
        <is>
          <t>2026.03.25.AI_HDSD TREN WEB SUPPORT SV.docx</t>
        </is>
      </c>
      <c r="D41" s="2" t="inlineStr">
        <is>
          <t>Mục III -&gt; 2</t>
        </is>
      </c>
      <c r="E41" s="2" t="inlineStr">
        <is>
          <t>Không bắt buộc. Phần nhập ý kiến đóng góp, bổ sung hoặc phản ánh thêm là mục không bắt buộc, sinh viên có thể bỏ qua và chỉ cần chọn mức độ hài lòng rồi nhấn nút gửi.</t>
        </is>
      </c>
      <c r="F41" s="2" t="inlineStr">
        <is>
          <t>Không bắt buộc. Phần nhập ý kiến đóng góp, bổ sung hoặc phản ánh thêm là mục không bắt buộc, sinh viên có thể bỏ qua và chỉ cần chọn mức độ hài lòng rồi nhấn nút gửi.; Từ khóa trọng tâm: ý kiến bổ sung; viết đóng góp; mục không bắt buộc</t>
        </is>
      </c>
      <c r="G41" s="2" t="inlineStr">
        <is>
          <t>ý kiến bổ sung, viết đóng góp, mục không bắt buộc</t>
        </is>
      </c>
      <c r="H41" s="2" t="inlineStr">
        <is>
          <t>trả lời không có căn cứ khi đáp án chuẩn có thông tin; nguồn không liên quan; cán bộ giảng viên nếu câu hỏi chỉ dành cho sinh viên; nguồn CBGV sai đối tượng</t>
        </is>
      </c>
      <c r="I41" s="2" t="inlineStr"/>
      <c r="J41" s="2" t="inlineStr"/>
      <c r="K41" s="2" t="inlineStr"/>
      <c r="L41" s="2" t="inlineStr"/>
      <c r="M41" s="2" t="inlineStr"/>
      <c r="N41" s="2" t="inlineStr"/>
      <c r="O41" s="2" t="inlineStr"/>
      <c r="P41" s="2">
        <f>SUM(K41:O41)</f>
        <v/>
      </c>
      <c r="Q41" s="2" t="inlineStr"/>
      <c r="R41" s="2" t="inlineStr"/>
      <c r="S41" s="2" t="inlineStr"/>
      <c r="T41" s="2" t="inlineStr"/>
      <c r="U41" s="2" t="inlineStr"/>
      <c r="V41" s="2" t="inlineStr"/>
      <c r="W41" s="2" t="inlineStr"/>
      <c r="X41" s="2" t="inlineStr"/>
      <c r="Y41" s="2">
        <f>SUM(T41:X41)</f>
        <v/>
      </c>
      <c r="Z41" s="2" t="inlineStr"/>
      <c r="AA41" s="2">
        <f>IF(P41&gt;Y41,"Bot 1",IF(Y41&gt;P41,"Bot 2","Hòa"))</f>
        <v/>
      </c>
      <c r="AB41" s="2">
        <f>ABS(P41-Y41)</f>
        <v/>
      </c>
      <c r="AC41" s="2" t="inlineStr"/>
    </row>
    <row r="42">
      <c r="A42" s="2" t="inlineStr">
        <is>
          <t>PCNTT041</t>
        </is>
      </c>
      <c r="B42" s="2" t="inlineStr">
        <is>
          <t>Chức năng "Tra cứu – Khối lượng công tác giảng viên" dùng để làm gì?</t>
        </is>
      </c>
      <c r="C42" s="2" t="inlineStr">
        <is>
          <t>2026.03.25.AI_HDSD TREN WEB SUPPORT CBGV.docx</t>
        </is>
      </c>
      <c r="D42" s="2" t="inlineStr">
        <is>
          <t>I -&gt; 1 -&gt; 1.1</t>
        </is>
      </c>
      <c r="E42" s="2" t="inlineStr">
        <is>
          <t>Chức năng này giúp giảng viên tự tra cứu, theo dõi thông tin nhân sự, lớp học phần được phân công, khối lượng giảng dạy, coi/chấm thi, NCKH, khối lượng bù và tổng hợp thanh toán dự kiến.</t>
        </is>
      </c>
      <c r="F42" s="2" t="inlineStr">
        <is>
          <t>Chức năng này giúp giảng viên tự tra cứu, theo dõi thông tin nhân sự, lớp học phần được phân công, khối lượng giảng dạy, coi/chấm thi, NCKH, khối lượng bù và tổng hợp thanh toán dự kiến.; Từ khóa trọng tâm: khối lượng giảng dạy; coi thi; chấm thi; nckh; thanh toán dự kiến</t>
        </is>
      </c>
      <c r="G42" s="2" t="inlineStr">
        <is>
          <t>khối lượng giảng dạy, coi thi, chấm thi, nckh, thanh toán dự kiến</t>
        </is>
      </c>
      <c r="H42" s="2" t="inlineStr">
        <is>
          <t>trả lời không có căn cứ khi đáp án chuẩn có thông tin; nguồn không liên quan; sinh viên nếu câu hỏi chỉ dành cho CBGV; nguồn SV sai đối tượng</t>
        </is>
      </c>
      <c r="I42" s="2" t="inlineStr"/>
      <c r="J42" s="2" t="inlineStr"/>
      <c r="K42" s="2" t="inlineStr"/>
      <c r="L42" s="2" t="inlineStr"/>
      <c r="M42" s="2" t="inlineStr"/>
      <c r="N42" s="2" t="inlineStr"/>
      <c r="O42" s="2" t="inlineStr"/>
      <c r="P42" s="2">
        <f>SUM(K42:O42)</f>
        <v/>
      </c>
      <c r="Q42" s="2" t="inlineStr"/>
      <c r="R42" s="2" t="inlineStr"/>
      <c r="S42" s="2" t="inlineStr"/>
      <c r="T42" s="2" t="inlineStr"/>
      <c r="U42" s="2" t="inlineStr"/>
      <c r="V42" s="2" t="inlineStr"/>
      <c r="W42" s="2" t="inlineStr"/>
      <c r="X42" s="2" t="inlineStr"/>
      <c r="Y42" s="2">
        <f>SUM(T42:X42)</f>
        <v/>
      </c>
      <c r="Z42" s="2" t="inlineStr"/>
      <c r="AA42" s="2">
        <f>IF(P42&gt;Y42,"Bot 1",IF(Y42&gt;P42,"Bot 2","Hòa"))</f>
        <v/>
      </c>
      <c r="AB42" s="2">
        <f>ABS(P42-Y42)</f>
        <v/>
      </c>
      <c r="AC42" s="2" t="inlineStr"/>
    </row>
    <row r="43">
      <c r="A43" s="2" t="inlineStr">
        <is>
          <t>PCNTT042</t>
        </is>
      </c>
      <c r="B43" s="2" t="inlineStr">
        <is>
          <t>Giảng viên có thể xem được dữ liệu khối lượng công tác của người khác không?</t>
        </is>
      </c>
      <c r="C43" s="2" t="inlineStr">
        <is>
          <t>2026.03.25.AI_HDSD TREN WEB SUPPORT CBGV.docx</t>
        </is>
      </c>
      <c r="D43" s="2" t="inlineStr">
        <is>
          <t>I -&gt; 1 -&gt; 1.1</t>
        </is>
      </c>
      <c r="E43" s="2" t="inlineStr">
        <is>
          <t>Không. Giảng viên chỉ xem được dữ liệu của chính mình. Số liệu hiển thị sẽ phụ thuộc vào năm học, học kỳ và trạng thái duyệt tại từng màn hình.</t>
        </is>
      </c>
      <c r="F43" s="2" t="inlineStr">
        <is>
          <t>Không. Giảng viên chỉ xem được dữ liệu của chính mình. Số liệu hiển thị sẽ phụ thuộc vào năm học, học kỳ và trạng thái duyệt tại từng màn hình.; Từ khóa trọng tâm: xem điểm người khác; bảo mật dữ liệu; phạm vi hiển thị</t>
        </is>
      </c>
      <c r="G43" s="2" t="inlineStr">
        <is>
          <t>xem điểm người khác, bảo mật dữ liệu, phạm vi hiển thị</t>
        </is>
      </c>
      <c r="H43" s="2" t="inlineStr">
        <is>
          <t>trả lời không có căn cứ khi đáp án chuẩn có thông tin; nguồn không liên quan; sinh viên nếu câu hỏi chỉ dành cho CBGV; nguồn SV sai đối tượng; trả lời quy chế chung nhưng không nêu thao tác hệ thống</t>
        </is>
      </c>
      <c r="I43" s="2" t="inlineStr"/>
      <c r="J43" s="2" t="inlineStr"/>
      <c r="K43" s="2" t="inlineStr"/>
      <c r="L43" s="2" t="inlineStr"/>
      <c r="M43" s="2" t="inlineStr"/>
      <c r="N43" s="2" t="inlineStr"/>
      <c r="O43" s="2" t="inlineStr"/>
      <c r="P43" s="2">
        <f>SUM(K43:O43)</f>
        <v/>
      </c>
      <c r="Q43" s="2" t="inlineStr"/>
      <c r="R43" s="2" t="inlineStr"/>
      <c r="S43" s="2" t="inlineStr"/>
      <c r="T43" s="2" t="inlineStr"/>
      <c r="U43" s="2" t="inlineStr"/>
      <c r="V43" s="2" t="inlineStr"/>
      <c r="W43" s="2" t="inlineStr"/>
      <c r="X43" s="2" t="inlineStr"/>
      <c r="Y43" s="2">
        <f>SUM(T43:X43)</f>
        <v/>
      </c>
      <c r="Z43" s="2" t="inlineStr"/>
      <c r="AA43" s="2">
        <f>IF(P43&gt;Y43,"Bot 1",IF(Y43&gt;P43,"Bot 2","Hòa"))</f>
        <v/>
      </c>
      <c r="AB43" s="2">
        <f>ABS(P43-Y43)</f>
        <v/>
      </c>
      <c r="AC43" s="2" t="inlineStr"/>
    </row>
    <row r="44">
      <c r="A44" s="2" t="inlineStr">
        <is>
          <t>PCNTT043</t>
        </is>
      </c>
      <c r="B44" s="2" t="inlineStr">
        <is>
          <t>Làm thế nào để truy cập chức năng Tra cứu khối lượng công tác giảng viên?</t>
        </is>
      </c>
      <c r="C44" s="2" t="inlineStr">
        <is>
          <t>2026.03.25.AI_HDSD TREN WEB SUPPORT CBGV.docx</t>
        </is>
      </c>
      <c r="D44" s="2" t="inlineStr">
        <is>
          <t>I -&gt; 1 -&gt; 1.2</t>
        </is>
      </c>
      <c r="E44" s="2" t="inlineStr">
        <is>
          <t>Cách 1: Đăng nhập https://support.uneti.edu.vn, chọn menu "Công tác giảng viên" -&gt; "Tra cứu – Khối lượng công tác giảng viên". Cách 2: Truy cập thẳng đường link hệ thống cung cấp trong văn bản hướng dẫn.</t>
        </is>
      </c>
      <c r="F44" s="2" t="inlineStr">
        <is>
          <t>Cách 1: Đăng nhập https://support.uneti.edu.vn, chọn menu "Công tác giảng viên" -&gt; "Tra cứu – Khối lượng công tác giảng viên". Cách 2: Truy cập thẳng đường link hệ thống cung cấp trong văn bản hướng dẫn.; Từ khóa trọng tâm: đường dẫn tra cứu; cách vào xem khối lượng; link công tác</t>
        </is>
      </c>
      <c r="G44" s="2" t="inlineStr">
        <is>
          <t>đường dẫn tra cứu, cách vào xem khối lượng, link công tác</t>
        </is>
      </c>
      <c r="H44" s="2" t="inlineStr">
        <is>
          <t>trả lời không có căn cứ khi đáp án chuẩn có thông tin; nguồn không liên quan; sinh viên nếu câu hỏi chỉ dành cho CBGV; nguồn SV sai đối tượng; trả lời quy chế chung nhưng không nêu thao tác hệ thống</t>
        </is>
      </c>
      <c r="I44" s="2" t="inlineStr"/>
      <c r="J44" s="2" t="inlineStr"/>
      <c r="K44" s="2" t="inlineStr"/>
      <c r="L44" s="2" t="inlineStr"/>
      <c r="M44" s="2" t="inlineStr"/>
      <c r="N44" s="2" t="inlineStr"/>
      <c r="O44" s="2" t="inlineStr"/>
      <c r="P44" s="2">
        <f>SUM(K44:O44)</f>
        <v/>
      </c>
      <c r="Q44" s="2" t="inlineStr"/>
      <c r="R44" s="2" t="inlineStr"/>
      <c r="S44" s="2" t="inlineStr"/>
      <c r="T44" s="2" t="inlineStr"/>
      <c r="U44" s="2" t="inlineStr"/>
      <c r="V44" s="2" t="inlineStr"/>
      <c r="W44" s="2" t="inlineStr"/>
      <c r="X44" s="2" t="inlineStr"/>
      <c r="Y44" s="2">
        <f>SUM(T44:X44)</f>
        <v/>
      </c>
      <c r="Z44" s="2" t="inlineStr"/>
      <c r="AA44" s="2">
        <f>IF(P44&gt;Y44,"Bot 1",IF(Y44&gt;P44,"Bot 2","Hòa"))</f>
        <v/>
      </c>
      <c r="AB44" s="2">
        <f>ABS(P44-Y44)</f>
        <v/>
      </c>
      <c r="AC44" s="2" t="inlineStr"/>
    </row>
    <row r="45">
      <c r="A45" s="2" t="inlineStr">
        <is>
          <t>PCNTT044</t>
        </is>
      </c>
      <c r="B45" s="2" t="inlineStr">
        <is>
          <t>Trên màn hình "Thông tin nhân sự", tôi có thể kiểm tra những thông tin nào?</t>
        </is>
      </c>
      <c r="C45" s="2" t="inlineStr">
        <is>
          <t>2026.03.25.AI_HDSD TREN WEB SUPPORT CBGV.docx</t>
        </is>
      </c>
      <c r="D45" s="2" t="inlineStr">
        <is>
          <t>I -&gt; 1 -&gt; 1.3 -&gt; a</t>
        </is>
      </c>
      <c r="E45" s="2" t="inlineStr">
        <is>
          <t>Bạn có thể kiểm tra thông tin định danh cá nhân gồm: Mã cán bộ, Họ và tên, Bộ môn, Khoa/Trung tâm, Chức vụ và Học vị hiện tại của mình.</t>
        </is>
      </c>
      <c r="F45" s="2" t="inlineStr">
        <is>
          <t>Bạn có thể kiểm tra thông tin định danh cá nhân gồm: Mã cán bộ, Họ và tên, Bộ môn, Khoa/Trung tâm, Chức vụ và Học vị hiện tại của mình.; Từ khóa trọng tâm: thông tin cá nhân; mã cán bộ; học vị; chức vụ giảng viên</t>
        </is>
      </c>
      <c r="G45" s="2" t="inlineStr">
        <is>
          <t>thông tin cá nhân, mã cán bộ, học vị, chức vụ giảng viên</t>
        </is>
      </c>
      <c r="H45" s="2" t="inlineStr">
        <is>
          <t>trả lời không có căn cứ khi đáp án chuẩn có thông tin; nguồn không liên quan; sinh viên nếu câu hỏi chỉ dành cho CBGV; nguồn SV sai đối tượng; trả lời quy chế chung nhưng không nêu thao tác hệ thống</t>
        </is>
      </c>
      <c r="I45" s="2" t="inlineStr"/>
      <c r="J45" s="2" t="inlineStr"/>
      <c r="K45" s="2" t="inlineStr"/>
      <c r="L45" s="2" t="inlineStr"/>
      <c r="M45" s="2" t="inlineStr"/>
      <c r="N45" s="2" t="inlineStr"/>
      <c r="O45" s="2" t="inlineStr"/>
      <c r="P45" s="2">
        <f>SUM(K45:O45)</f>
        <v/>
      </c>
      <c r="Q45" s="2" t="inlineStr"/>
      <c r="R45" s="2" t="inlineStr"/>
      <c r="S45" s="2" t="inlineStr"/>
      <c r="T45" s="2" t="inlineStr"/>
      <c r="U45" s="2" t="inlineStr"/>
      <c r="V45" s="2" t="inlineStr"/>
      <c r="W45" s="2" t="inlineStr"/>
      <c r="X45" s="2" t="inlineStr"/>
      <c r="Y45" s="2">
        <f>SUM(T45:X45)</f>
        <v/>
      </c>
      <c r="Z45" s="2" t="inlineStr"/>
      <c r="AA45" s="2">
        <f>IF(P45&gt;Y45,"Bot 1",IF(Y45&gt;P45,"Bot 2","Hòa"))</f>
        <v/>
      </c>
      <c r="AB45" s="2">
        <f>ABS(P45-Y45)</f>
        <v/>
      </c>
      <c r="AC45" s="2" t="inlineStr"/>
    </row>
    <row r="46">
      <c r="A46" s="2" t="inlineStr">
        <is>
          <t>PCNTT045</t>
        </is>
      </c>
      <c r="B46" s="2" t="inlineStr">
        <is>
          <t>Làm sao để xem danh sách các lớp học phần mình được phân công giảng dạy?</t>
        </is>
      </c>
      <c r="C46" s="2" t="inlineStr">
        <is>
          <t>2026.03.25.AI_HDSD TREN WEB SUPPORT CBGV.docx</t>
        </is>
      </c>
      <c r="D46" s="2" t="inlineStr">
        <is>
          <t>I -&gt; 1 -&gt; 1.3 -&gt; b</t>
        </is>
      </c>
      <c r="E46" s="2" t="inlineStr">
        <is>
          <t>Tại giao diện Tra cứu, bạn chọn tab "Lớp học phần". Hệ thống sẽ hiển thị danh sách các lớp bạn dạy trong năm học và học kỳ đã chọn.</t>
        </is>
      </c>
      <c r="F46" s="2" t="inlineStr">
        <is>
          <t>Tại giao diện Tra cứu, bạn chọn tab "Lớp học phần". Hệ thống sẽ hiển thị danh sách các lớp bạn dạy trong năm học và học kỳ đã chọn.; Từ khóa trọng tâm: lớp học phần; danh sách lớp dạy; phân công giảng dạy</t>
        </is>
      </c>
      <c r="G46" s="2" t="inlineStr">
        <is>
          <t>lớp học phần, danh sách lớp dạy, phân công giảng dạy</t>
        </is>
      </c>
      <c r="H46" s="2" t="inlineStr">
        <is>
          <t>trả lời không có căn cứ khi đáp án chuẩn có thông tin; nguồn không liên quan; sinh viên nếu câu hỏi chỉ dành cho CBGV; nguồn SV sai đối tượng; trả lời quy chế chung nhưng không nêu thao tác hệ thống</t>
        </is>
      </c>
      <c r="I46" s="2" t="inlineStr"/>
      <c r="J46" s="2" t="inlineStr"/>
      <c r="K46" s="2" t="inlineStr"/>
      <c r="L46" s="2" t="inlineStr"/>
      <c r="M46" s="2" t="inlineStr"/>
      <c r="N46" s="2" t="inlineStr"/>
      <c r="O46" s="2" t="inlineStr"/>
      <c r="P46" s="2">
        <f>SUM(K46:O46)</f>
        <v/>
      </c>
      <c r="Q46" s="2" t="inlineStr"/>
      <c r="R46" s="2" t="inlineStr"/>
      <c r="S46" s="2" t="inlineStr"/>
      <c r="T46" s="2" t="inlineStr"/>
      <c r="U46" s="2" t="inlineStr"/>
      <c r="V46" s="2" t="inlineStr"/>
      <c r="W46" s="2" t="inlineStr"/>
      <c r="X46" s="2" t="inlineStr"/>
      <c r="Y46" s="2">
        <f>SUM(T46:X46)</f>
        <v/>
      </c>
      <c r="Z46" s="2" t="inlineStr"/>
      <c r="AA46" s="2">
        <f>IF(P46&gt;Y46,"Bot 1",IF(Y46&gt;P46,"Bot 2","Hòa"))</f>
        <v/>
      </c>
      <c r="AB46" s="2">
        <f>ABS(P46-Y46)</f>
        <v/>
      </c>
      <c r="AC46" s="2" t="inlineStr"/>
    </row>
    <row r="47">
      <c r="A47" s="2" t="inlineStr">
        <is>
          <t>PCNTT046</t>
        </is>
      </c>
      <c r="B47" s="2" t="inlineStr">
        <is>
          <t>Tại màn hình "Lớp học phần", tôi có thể xem được các thông số chi tiết nào?</t>
        </is>
      </c>
      <c r="C47" s="2" t="inlineStr">
        <is>
          <t>2026.03.25.AI_HDSD TREN WEB SUPPORT CBGV.docx</t>
        </is>
      </c>
      <c r="D47" s="2" t="inlineStr">
        <is>
          <t>I -&gt; 1 -&gt; 1.3 -&gt; b</t>
        </is>
      </c>
      <c r="E47" s="2" t="inlineStr">
        <is>
          <t>Bạn xem được: Mã lớp học phần, Tên môn học, Số tín chỉ, Số sinh viên, Hình thức thi (Tự luận/Trắc nghiệm/Vấn đáp/Báo cáo) và Trạng thái đồng bộ dữ liệu.</t>
        </is>
      </c>
      <c r="F47" s="2" t="inlineStr">
        <is>
          <t>Bạn xem được: Mã lớp học phần, Tên môn học, Số tín chỉ, Số sinh viên, Hình thức thi (Tự luận/Trắc nghiệm/Vấn đáp/Báo cáo) và Trạng thái đồng bộ dữ liệu.; Từ khóa trọng tâm: hình thức thi; số tín chỉ; sĩ số lớp; mã lớp học phần</t>
        </is>
      </c>
      <c r="G47" s="2" t="inlineStr">
        <is>
          <t>hình thức thi, số tín chỉ, sĩ số lớp, mã lớp học phần</t>
        </is>
      </c>
      <c r="H47" s="2" t="inlineStr">
        <is>
          <t>trả lời không có căn cứ khi đáp án chuẩn có thông tin; nguồn không liên quan; sinh viên nếu câu hỏi chỉ dành cho CBGV; nguồn SV sai đối tượng; trả lời quy chế chung nhưng không nêu thao tác hệ thống</t>
        </is>
      </c>
      <c r="I47" s="2" t="inlineStr"/>
      <c r="J47" s="2" t="inlineStr"/>
      <c r="K47" s="2" t="inlineStr"/>
      <c r="L47" s="2" t="inlineStr"/>
      <c r="M47" s="2" t="inlineStr"/>
      <c r="N47" s="2" t="inlineStr"/>
      <c r="O47" s="2" t="inlineStr"/>
      <c r="P47" s="2">
        <f>SUM(K47:O47)</f>
        <v/>
      </c>
      <c r="Q47" s="2" t="inlineStr"/>
      <c r="R47" s="2" t="inlineStr"/>
      <c r="S47" s="2" t="inlineStr"/>
      <c r="T47" s="2" t="inlineStr"/>
      <c r="U47" s="2" t="inlineStr"/>
      <c r="V47" s="2" t="inlineStr"/>
      <c r="W47" s="2" t="inlineStr"/>
      <c r="X47" s="2" t="inlineStr"/>
      <c r="Y47" s="2">
        <f>SUM(T47:X47)</f>
        <v/>
      </c>
      <c r="Z47" s="2" t="inlineStr"/>
      <c r="AA47" s="2">
        <f>IF(P47&gt;Y47,"Bot 1",IF(Y47&gt;P47,"Bot 2","Hòa"))</f>
        <v/>
      </c>
      <c r="AB47" s="2">
        <f>ABS(P47-Y47)</f>
        <v/>
      </c>
      <c r="AC47" s="2" t="inlineStr"/>
    </row>
    <row r="48">
      <c r="A48" s="2" t="inlineStr">
        <is>
          <t>PCNTT047</t>
        </is>
      </c>
      <c r="B48" s="2" t="inlineStr">
        <is>
          <t>Màn hình "Khối lượng giảng dạy" cung cấp thông tin gì cho giảng viên?</t>
        </is>
      </c>
      <c r="C48" s="2" t="inlineStr">
        <is>
          <t>2026.03.25.AI_HDSD TREN WEB SUPPORT CBGV.docx</t>
        </is>
      </c>
      <c r="D48" s="2" t="inlineStr">
        <is>
          <t>I -&gt; 1 -&gt; 1.3 -&gt; c</t>
        </is>
      </c>
      <c r="E48" s="2" t="inlineStr">
        <is>
          <t>Cung cấp bảng tính chi tiết số tiết giảng dạy thực tế của từng lớp học phần, bao gồm số tiết lý thuyết, thảo luận, thực hành và tổng số tiết quy đổi.</t>
        </is>
      </c>
      <c r="F48" s="2" t="inlineStr">
        <is>
          <t>Cung cấp bảng tính chi tiết số tiết giảng dạy thực tế của từng lớp học phần, bao gồm số tiết lý thuyết, thảo luận, thực hành và tổng số tiết quy đổi.; Từ khóa trọng tâm: số tiết dạy; tiết quy đổi; tiết lý thuyết; thực hành</t>
        </is>
      </c>
      <c r="G48" s="2" t="inlineStr">
        <is>
          <t>số tiết dạy, tiết quy đổi, tiết lý thuyết, thực hành</t>
        </is>
      </c>
      <c r="H48" s="2" t="inlineStr">
        <is>
          <t>trả lời không có căn cứ khi đáp án chuẩn có thông tin; nguồn không liên quan; sinh viên nếu câu hỏi chỉ dành cho CBGV; nguồn SV sai đối tượng</t>
        </is>
      </c>
      <c r="I48" s="2" t="inlineStr"/>
      <c r="J48" s="2" t="inlineStr"/>
      <c r="K48" s="2" t="inlineStr"/>
      <c r="L48" s="2" t="inlineStr"/>
      <c r="M48" s="2" t="inlineStr"/>
      <c r="N48" s="2" t="inlineStr"/>
      <c r="O48" s="2" t="inlineStr"/>
      <c r="P48" s="2">
        <f>SUM(K48:O48)</f>
        <v/>
      </c>
      <c r="Q48" s="2" t="inlineStr"/>
      <c r="R48" s="2" t="inlineStr"/>
      <c r="S48" s="2" t="inlineStr"/>
      <c r="T48" s="2" t="inlineStr"/>
      <c r="U48" s="2" t="inlineStr"/>
      <c r="V48" s="2" t="inlineStr"/>
      <c r="W48" s="2" t="inlineStr"/>
      <c r="X48" s="2" t="inlineStr"/>
      <c r="Y48" s="2">
        <f>SUM(T48:X48)</f>
        <v/>
      </c>
      <c r="Z48" s="2" t="inlineStr"/>
      <c r="AA48" s="2">
        <f>IF(P48&gt;Y48,"Bot 1",IF(Y48&gt;P48,"Bot 2","Hòa"))</f>
        <v/>
      </c>
      <c r="AB48" s="2">
        <f>ABS(P48-Y48)</f>
        <v/>
      </c>
      <c r="AC48" s="2" t="inlineStr"/>
    </row>
    <row r="49">
      <c r="A49" s="2" t="inlineStr">
        <is>
          <t>PCNTT048</t>
        </is>
      </c>
      <c r="B49" s="2" t="inlineStr">
        <is>
          <t>Tôi muốn kiểm tra số giờ coi thi và chấm thi của mình thì xem ở đâu?</t>
        </is>
      </c>
      <c r="C49" s="2" t="inlineStr">
        <is>
          <t>2026.03.25.AI_HDSD TREN WEB SUPPORT CBGV.docx</t>
        </is>
      </c>
      <c r="D49" s="2" t="inlineStr">
        <is>
          <t>I -&gt; 1 -&gt; 1.3 -&gt; d</t>
        </is>
      </c>
      <c r="E49" s="2" t="inlineStr">
        <is>
          <t>Bạn chọn tab "Khối lượng coi, chấm thi". Hệ thống sẽ hiển thị chi tiết số lượt coi thi, số bài chấm thi tương ứng với từng học kỳ và mức quy đổi giờ cấu trúc tương ứng.</t>
        </is>
      </c>
      <c r="F49" s="2" t="inlineStr">
        <is>
          <t>Bạn chọn tab "Khối lượng coi, chấm thi". Hệ thống sẽ hiển thị chi tiết số lượt coi thi, số bài chấm thi tương ứng với từng học kỳ và mức quy đổi giờ cấu trúc tương ứng.; Từ khóa trọng tâm: giờ coi thi; công chấm thi; số lượt coi thi; số bài chấm</t>
        </is>
      </c>
      <c r="G49" s="2" t="inlineStr">
        <is>
          <t>giờ coi thi, công chấm thi, số lượt coi thi, số bài chấm</t>
        </is>
      </c>
      <c r="H49" s="2" t="inlineStr">
        <is>
          <t>trả lời không có căn cứ khi đáp án chuẩn có thông tin; nguồn không liên quan; sinh viên nếu câu hỏi chỉ dành cho CBGV; nguồn SV sai đối tượng; trả lời quy chế chung nhưng không nêu thao tác hệ thống</t>
        </is>
      </c>
      <c r="I49" s="2" t="inlineStr"/>
      <c r="J49" s="2" t="inlineStr"/>
      <c r="K49" s="2" t="inlineStr"/>
      <c r="L49" s="2" t="inlineStr"/>
      <c r="M49" s="2" t="inlineStr"/>
      <c r="N49" s="2" t="inlineStr"/>
      <c r="O49" s="2" t="inlineStr"/>
      <c r="P49" s="2">
        <f>SUM(K49:O49)</f>
        <v/>
      </c>
      <c r="Q49" s="2" t="inlineStr"/>
      <c r="R49" s="2" t="inlineStr"/>
      <c r="S49" s="2" t="inlineStr"/>
      <c r="T49" s="2" t="inlineStr"/>
      <c r="U49" s="2" t="inlineStr"/>
      <c r="V49" s="2" t="inlineStr"/>
      <c r="W49" s="2" t="inlineStr"/>
      <c r="X49" s="2" t="inlineStr"/>
      <c r="Y49" s="2">
        <f>SUM(T49:X49)</f>
        <v/>
      </c>
      <c r="Z49" s="2" t="inlineStr"/>
      <c r="AA49" s="2">
        <f>IF(P49&gt;Y49,"Bot 1",IF(Y49&gt;P49,"Bot 2","Hòa"))</f>
        <v/>
      </c>
      <c r="AB49" s="2">
        <f>ABS(P49-Y49)</f>
        <v/>
      </c>
      <c r="AC49" s="2" t="inlineStr"/>
    </row>
    <row r="50">
      <c r="A50" s="2" t="inlineStr">
        <is>
          <t>PCNTT049</t>
        </is>
      </c>
      <c r="B50" s="2" t="inlineStr">
        <is>
          <t>"Khối lượng bù" trong mục tra cứu công tác giảng viên là gì?</t>
        </is>
      </c>
      <c r="C50" s="2" t="inlineStr">
        <is>
          <t>2026.03.25.AI_HDSD TREN WEB SUPPORT CBGV.docx</t>
        </is>
      </c>
      <c r="D50" s="2" t="inlineStr">
        <is>
          <t>I -&gt; 1 -&gt; 1.3 -&gt; e</t>
        </is>
      </c>
      <c r="E50" s="2" t="inlineStr">
        <is>
          <t>Là màn hình hiển thị các khoản khối lượng được cộng bù hoặc điều chỉnh phát sinh ngoài kế hoạch giảng dạy chính thức đã được phê duyệt trong kỳ.</t>
        </is>
      </c>
      <c r="F50" s="2" t="inlineStr">
        <is>
          <t>Là màn hình hiển thị các khoản khối lượng được cộng bù hoặc điều chỉnh phát sinh ngoài kế hoạch giảng dạy chính thức đã được phê duyệt trong kỳ.; Từ khóa trọng tâm: khối lượng cộng thêm; dạy bù; điều chỉnh khối lượng</t>
        </is>
      </c>
      <c r="G50" s="2" t="inlineStr">
        <is>
          <t>khối lượng cộng thêm, dạy bù, điều chỉnh khối lượng</t>
        </is>
      </c>
      <c r="H50" s="2" t="inlineStr">
        <is>
          <t>trả lời không có căn cứ khi đáp án chuẩn có thông tin; nguồn không liên quan; sinh viên nếu câu hỏi chỉ dành cho CBGV; nguồn SV sai đối tượng</t>
        </is>
      </c>
      <c r="I50" s="2" t="inlineStr"/>
      <c r="J50" s="2" t="inlineStr"/>
      <c r="K50" s="2" t="inlineStr"/>
      <c r="L50" s="2" t="inlineStr"/>
      <c r="M50" s="2" t="inlineStr"/>
      <c r="N50" s="2" t="inlineStr"/>
      <c r="O50" s="2" t="inlineStr"/>
      <c r="P50" s="2">
        <f>SUM(K50:O50)</f>
        <v/>
      </c>
      <c r="Q50" s="2" t="inlineStr"/>
      <c r="R50" s="2" t="inlineStr"/>
      <c r="S50" s="2" t="inlineStr"/>
      <c r="T50" s="2" t="inlineStr"/>
      <c r="U50" s="2" t="inlineStr"/>
      <c r="V50" s="2" t="inlineStr"/>
      <c r="W50" s="2" t="inlineStr"/>
      <c r="X50" s="2" t="inlineStr"/>
      <c r="Y50" s="2">
        <f>SUM(T50:X50)</f>
        <v/>
      </c>
      <c r="Z50" s="2" t="inlineStr"/>
      <c r="AA50" s="2">
        <f>IF(P50&gt;Y50,"Bot 1",IF(Y50&gt;P50,"Bot 2","Hòa"))</f>
        <v/>
      </c>
      <c r="AB50" s="2">
        <f>ABS(P50-Y50)</f>
        <v/>
      </c>
      <c r="AC50" s="2" t="inlineStr"/>
    </row>
    <row r="51">
      <c r="A51" s="2" t="inlineStr">
        <is>
          <t>PCNTT050</t>
        </is>
      </c>
      <c r="B51" s="2" t="inlineStr">
        <is>
          <t>Làm thế nào để biết tổng số tiền thanh toán dự kiến cho khối lượng công việc của tôi?</t>
        </is>
      </c>
      <c r="C51" s="2" t="inlineStr">
        <is>
          <t>2026.03.25.AI_HDSD TREN WEB SUPPORT CBGV.docx</t>
        </is>
      </c>
      <c r="D51" s="2" t="inlineStr">
        <is>
          <t>I -&gt; 1 -&gt; 1.3 -&gt; f</t>
        </is>
      </c>
      <c r="E51" s="2" t="inlineStr">
        <is>
          <t>Bạn vào màn hình "Tổng hợp khối lượng và thanh toán". Hệ thống sẽ tự động tổng hợp tổng số tiết quy đổi từ dạy, coi/chấm thi, NCKH và áp đơn giá để ra tổng số tiền dự kiến nhận.</t>
        </is>
      </c>
      <c r="F51" s="2" t="inlineStr">
        <is>
          <t>Bạn vào màn hình "Tổng hợp khối lượng và thanh toán". Hệ thống sẽ tự động tổng hợp tổng số tiết quy đổi từ dạy, coi/chấm thi, NCKH và áp đơn giá để ra tổng số tiền dự kiến nhận.; Từ khóa trọng tâm: tổng tiền nhận; đơn giá tiết dạy; thanh toán dự kiến; tổng hợp tiết</t>
        </is>
      </c>
      <c r="G51" s="2" t="inlineStr">
        <is>
          <t>tổng tiền nhận, đơn giá tiết dạy, thanh toán dự kiến, tổng hợp tiết</t>
        </is>
      </c>
      <c r="H51" s="2" t="inlineStr">
        <is>
          <t>trả lời không có căn cứ khi đáp án chuẩn có thông tin; nguồn không liên quan; sinh viên nếu câu hỏi chỉ dành cho CBGV; nguồn SV sai đối tượng; trả lời quy chế chung nhưng không nêu thao tác hệ thống</t>
        </is>
      </c>
      <c r="I51" s="2" t="inlineStr"/>
      <c r="J51" s="2" t="inlineStr"/>
      <c r="K51" s="2" t="inlineStr"/>
      <c r="L51" s="2" t="inlineStr"/>
      <c r="M51" s="2" t="inlineStr"/>
      <c r="N51" s="2" t="inlineStr"/>
      <c r="O51" s="2" t="inlineStr"/>
      <c r="P51" s="2">
        <f>SUM(K51:O51)</f>
        <v/>
      </c>
      <c r="Q51" s="2" t="inlineStr"/>
      <c r="R51" s="2" t="inlineStr"/>
      <c r="S51" s="2" t="inlineStr"/>
      <c r="T51" s="2" t="inlineStr"/>
      <c r="U51" s="2" t="inlineStr"/>
      <c r="V51" s="2" t="inlineStr"/>
      <c r="W51" s="2" t="inlineStr"/>
      <c r="X51" s="2" t="inlineStr"/>
      <c r="Y51" s="2">
        <f>SUM(T51:X51)</f>
        <v/>
      </c>
      <c r="Z51" s="2" t="inlineStr"/>
      <c r="AA51" s="2">
        <f>IF(P51&gt;Y51,"Bot 1",IF(Y51&gt;P51,"Bot 2","Hòa"))</f>
        <v/>
      </c>
      <c r="AB51" s="2">
        <f>ABS(P51-Y51)</f>
        <v/>
      </c>
      <c r="AC51" s="2" t="inlineStr"/>
    </row>
    <row r="52">
      <c r="A52" s="2" t="inlineStr">
        <is>
          <t>PCNTT051</t>
        </is>
      </c>
      <c r="B52" s="2" t="inlineStr">
        <is>
          <t>Tại sao số liệu thanh toán hoặc khối lượng công tác của tôi hiển thị bằng 0 hoặc chưa chính xác?</t>
        </is>
      </c>
      <c r="C52" s="2" t="inlineStr">
        <is>
          <t>2026.03.25.AI_HDSD TREN WEB SUPPORT CBGV.docx</t>
        </is>
      </c>
      <c r="D52" s="2" t="inlineStr">
        <is>
          <t>I -&gt; 1 -&gt; 1.3</t>
        </is>
      </c>
      <c r="E52" s="2" t="inlineStr">
        <is>
          <t>Do số liệu hiển thị phụ thuộc vào tiến độ cập nhật và trạng thái phê duyệt của các phòng ban chức năng. Nếu chưa được duyệt, dữ liệu sẽ chưa hiển thị đúng.</t>
        </is>
      </c>
      <c r="F52" s="2" t="inlineStr">
        <is>
          <t>Do số liệu hiển thị phụ thuộc vào tiến độ cập nhật và trạng thái phê duyệt của các phòng ban chức năng. Nếu chưa được duyệt, dữ liệu sẽ chưa hiển thị đúng.; Từ khóa trọng tâm: lỗi hiển thị bằng 0; số liệu sai; chưa cập nhật khối lượng</t>
        </is>
      </c>
      <c r="G52" s="2" t="inlineStr">
        <is>
          <t>lỗi hiển thị bằng 0, số liệu sai, chưa cập nhật khối lượng</t>
        </is>
      </c>
      <c r="H52" s="2" t="inlineStr">
        <is>
          <t>trả lời không có căn cứ khi đáp án chuẩn có thông tin; nguồn không liên quan; sinh viên nếu câu hỏi chỉ dành cho CBGV; nguồn SV sai đối tượng</t>
        </is>
      </c>
      <c r="I52" s="2" t="inlineStr"/>
      <c r="J52" s="2" t="inlineStr"/>
      <c r="K52" s="2" t="inlineStr"/>
      <c r="L52" s="2" t="inlineStr"/>
      <c r="M52" s="2" t="inlineStr"/>
      <c r="N52" s="2" t="inlineStr"/>
      <c r="O52" s="2" t="inlineStr"/>
      <c r="P52" s="2">
        <f>SUM(K52:O52)</f>
        <v/>
      </c>
      <c r="Q52" s="2" t="inlineStr"/>
      <c r="R52" s="2" t="inlineStr"/>
      <c r="S52" s="2" t="inlineStr"/>
      <c r="T52" s="2" t="inlineStr"/>
      <c r="U52" s="2" t="inlineStr"/>
      <c r="V52" s="2" t="inlineStr"/>
      <c r="W52" s="2" t="inlineStr"/>
      <c r="X52" s="2" t="inlineStr"/>
      <c r="Y52" s="2">
        <f>SUM(T52:X52)</f>
        <v/>
      </c>
      <c r="Z52" s="2" t="inlineStr"/>
      <c r="AA52" s="2">
        <f>IF(P52&gt;Y52,"Bot 1",IF(Y52&gt;P52,"Bot 2","Hòa"))</f>
        <v/>
      </c>
      <c r="AB52" s="2">
        <f>ABS(P52-Y52)</f>
        <v/>
      </c>
      <c r="AC52" s="2" t="inlineStr"/>
    </row>
    <row r="53">
      <c r="A53" s="2" t="inlineStr">
        <is>
          <t>PCNTT052</t>
        </is>
      </c>
      <c r="B53" s="2" t="inlineStr">
        <is>
          <t>Mục đích của chức năng "Quản lý thiết bị giảng đường – Báo hỏng" là gì?</t>
        </is>
      </c>
      <c r="C53" s="2" t="inlineStr">
        <is>
          <t>2026.03.25.AI_HDSD TREN WEB SUPPORT CBGV.docx</t>
        </is>
      </c>
      <c r="D53" s="2" t="inlineStr">
        <is>
          <t>II -&gt; 1 -&gt; 1.1</t>
        </is>
      </c>
      <c r="E53" s="2" t="inlineStr">
        <is>
          <t>Giúp giảng viên báo cáo nhanh các sự cố, hỏng hóc về cơ sở vật chất, thiết bị (máy tính, máy chiếu, mạng, bàn ghế) tại các phòng học để bộ phận kỹ thuật kịp thời sửa chữa.</t>
        </is>
      </c>
      <c r="F53" s="2" t="inlineStr">
        <is>
          <t>Giúp giảng viên báo cáo nhanh các sự cố, hỏng hóc về cơ sở vật chất, thiết bị (máy tính, máy chiếu, mạng, bàn ghế) tại các phòng học để bộ phận kỹ thuật kịp thời sửa chữa.; Từ khóa trọng tâm: hỏng máy chiếu; lỗi mạng phòng học; hỏng điều hòa; cơ sở vật chất</t>
        </is>
      </c>
      <c r="G53" s="2" t="inlineStr">
        <is>
          <t>hỏng máy chiếu, lỗi mạng phòng học, hỏng điều hòa, cơ sở vật chất</t>
        </is>
      </c>
      <c r="H53" s="2" t="inlineStr">
        <is>
          <t>trả lời không có căn cứ khi đáp án chuẩn có thông tin; nguồn không liên quan; sinh viên nếu câu hỏi chỉ dành cho CBGV; nguồn SV sai đối tượng</t>
        </is>
      </c>
      <c r="I53" s="2" t="inlineStr"/>
      <c r="J53" s="2" t="inlineStr"/>
      <c r="K53" s="2" t="inlineStr"/>
      <c r="L53" s="2" t="inlineStr"/>
      <c r="M53" s="2" t="inlineStr"/>
      <c r="N53" s="2" t="inlineStr"/>
      <c r="O53" s="2" t="inlineStr"/>
      <c r="P53" s="2">
        <f>SUM(K53:O53)</f>
        <v/>
      </c>
      <c r="Q53" s="2" t="inlineStr"/>
      <c r="R53" s="2" t="inlineStr"/>
      <c r="S53" s="2" t="inlineStr"/>
      <c r="T53" s="2" t="inlineStr"/>
      <c r="U53" s="2" t="inlineStr"/>
      <c r="V53" s="2" t="inlineStr"/>
      <c r="W53" s="2" t="inlineStr"/>
      <c r="X53" s="2" t="inlineStr"/>
      <c r="Y53" s="2">
        <f>SUM(T53:X53)</f>
        <v/>
      </c>
      <c r="Z53" s="2" t="inlineStr"/>
      <c r="AA53" s="2">
        <f>IF(P53&gt;Y53,"Bot 1",IF(Y53&gt;P53,"Bot 2","Hòa"))</f>
        <v/>
      </c>
      <c r="AB53" s="2">
        <f>ABS(P53-Y53)</f>
        <v/>
      </c>
      <c r="AC53" s="2" t="inlineStr"/>
    </row>
    <row r="54">
      <c r="A54" s="2" t="inlineStr">
        <is>
          <t>PCNTT053</t>
        </is>
      </c>
      <c r="B54" s="2" t="inlineStr">
        <is>
          <t>Giảng viên truy cập chức năng Báo hỏng thiết bị giảng đường như thế nào?</t>
        </is>
      </c>
      <c r="C54" s="2" t="inlineStr">
        <is>
          <t>2026.03.25.AI_HDSD TREN WEB SUPPORT CBGV.docx</t>
        </is>
      </c>
      <c r="D54" s="2" t="inlineStr">
        <is>
          <t>II -&gt; 1 -&gt; 1.2</t>
        </is>
      </c>
      <c r="E54" s="2" t="inlineStr">
        <is>
          <t>Đăng nhập hệ thống, tại menu chính chọn "Quản lý thiết bị giảng đường" -&gt; Chọn tiếp chức năng "Báo hỏng".</t>
        </is>
      </c>
      <c r="F54" s="2" t="inlineStr">
        <is>
          <t>Đăng nhập hệ thống, tại menu chính chọn "Quản lý thiết bị giảng đường" -&gt; Chọn tiếp chức năng "Báo hỏng".; Từ khóa trọng tâm: cách báo hỏng thiết bị; lối vào mục báo hỏng</t>
        </is>
      </c>
      <c r="G54" s="2" t="inlineStr">
        <is>
          <t>cách báo hỏng thiết bị, lối vào mục báo hỏng</t>
        </is>
      </c>
      <c r="H54" s="2" t="inlineStr">
        <is>
          <t>trả lời không có căn cứ khi đáp án chuẩn có thông tin; nguồn không liên quan; sinh viên nếu câu hỏi chỉ dành cho CBGV; nguồn SV sai đối tượng; trả lời quy chế chung nhưng không nêu thao tác hệ thống</t>
        </is>
      </c>
      <c r="I54" s="2" t="inlineStr"/>
      <c r="J54" s="2" t="inlineStr"/>
      <c r="K54" s="2" t="inlineStr"/>
      <c r="L54" s="2" t="inlineStr"/>
      <c r="M54" s="2" t="inlineStr"/>
      <c r="N54" s="2" t="inlineStr"/>
      <c r="O54" s="2" t="inlineStr"/>
      <c r="P54" s="2">
        <f>SUM(K54:O54)</f>
        <v/>
      </c>
      <c r="Q54" s="2" t="inlineStr"/>
      <c r="R54" s="2" t="inlineStr"/>
      <c r="S54" s="2" t="inlineStr"/>
      <c r="T54" s="2" t="inlineStr"/>
      <c r="U54" s="2" t="inlineStr"/>
      <c r="V54" s="2" t="inlineStr"/>
      <c r="W54" s="2" t="inlineStr"/>
      <c r="X54" s="2" t="inlineStr"/>
      <c r="Y54" s="2">
        <f>SUM(T54:X54)</f>
        <v/>
      </c>
      <c r="Z54" s="2" t="inlineStr"/>
      <c r="AA54" s="2">
        <f>IF(P54&gt;Y54,"Bot 1",IF(Y54&gt;P54,"Bot 2","Hòa"))</f>
        <v/>
      </c>
      <c r="AB54" s="2">
        <f>ABS(P54-Y54)</f>
        <v/>
      </c>
      <c r="AC54" s="2" t="inlineStr"/>
    </row>
    <row r="55">
      <c r="A55" s="2" t="inlineStr">
        <is>
          <t>PCNTT054</t>
        </is>
      </c>
      <c r="B55" s="2" t="inlineStr">
        <is>
          <t>Có mấy hình thức chọn thiết bị khi làm phiếu báo hỏng?</t>
        </is>
      </c>
      <c r="C55" s="2" t="inlineStr">
        <is>
          <t>2026.03.25.AI_HDSD TREN WEB SUPPORT CBGV.docx</t>
        </is>
      </c>
      <c r="D55" s="2" t="inlineStr">
        <is>
          <t>II -&gt; 1 -&gt; 1.3</t>
        </is>
      </c>
      <c r="E55" s="2" t="inlineStr">
        <is>
          <t>Có 2 hình thức: Chọn "Theo hiện tượng sự cố" (nếu không biết rõ mã thiết bị) hoặc chọn "Theo cụ thể thiết bị" (nếu xác định được chính xác thiết bị hỏng qua mã tài sản).</t>
        </is>
      </c>
      <c r="F55" s="2" t="inlineStr">
        <is>
          <t>Có 2 hình thức: Chọn "Theo hiện tượng sự cố" (nếu không biết rõ mã thiết bị) hoặc chọn "Theo cụ thể thiết bị" (nếu xác định được chính xác thiết bị hỏng qua mã tài sản).; Từ khóa trọng tâm: hiện tượng sự cố; mã tài sản; phân loại báo hỏng</t>
        </is>
      </c>
      <c r="G55" s="2" t="inlineStr">
        <is>
          <t>hiện tượng sự cố, mã tài sản, phân loại báo hỏng</t>
        </is>
      </c>
      <c r="H55" s="2" t="inlineStr">
        <is>
          <t>trả lời không có căn cứ khi đáp án chuẩn có thông tin; nguồn không liên quan; sinh viên nếu câu hỏi chỉ dành cho CBGV; nguồn SV sai đối tượng</t>
        </is>
      </c>
      <c r="I55" s="2" t="inlineStr"/>
      <c r="J55" s="2" t="inlineStr"/>
      <c r="K55" s="2" t="inlineStr"/>
      <c r="L55" s="2" t="inlineStr"/>
      <c r="M55" s="2" t="inlineStr"/>
      <c r="N55" s="2" t="inlineStr"/>
      <c r="O55" s="2" t="inlineStr"/>
      <c r="P55" s="2">
        <f>SUM(K55:O55)</f>
        <v/>
      </c>
      <c r="Q55" s="2" t="inlineStr"/>
      <c r="R55" s="2" t="inlineStr"/>
      <c r="S55" s="2" t="inlineStr"/>
      <c r="T55" s="2" t="inlineStr"/>
      <c r="U55" s="2" t="inlineStr"/>
      <c r="V55" s="2" t="inlineStr"/>
      <c r="W55" s="2" t="inlineStr"/>
      <c r="X55" s="2" t="inlineStr"/>
      <c r="Y55" s="2">
        <f>SUM(T55:X55)</f>
        <v/>
      </c>
      <c r="Z55" s="2" t="inlineStr"/>
      <c r="AA55" s="2">
        <f>IF(P55&gt;Y55,"Bot 1",IF(Y55&gt;P55,"Bot 2","Hòa"))</f>
        <v/>
      </c>
      <c r="AB55" s="2">
        <f>ABS(P55-Y55)</f>
        <v/>
      </c>
      <c r="AC55" s="2" t="inlineStr"/>
    </row>
    <row r="56">
      <c r="A56" s="2" t="inlineStr">
        <is>
          <t>PCNTT055</t>
        </is>
      </c>
      <c r="B56" s="2" t="inlineStr">
        <is>
          <t>Khi báo hỏng thiết bị giảng đường, bước đầu tiên tôi cần chọn thông tin gì?</t>
        </is>
      </c>
      <c r="C56" s="2" t="inlineStr">
        <is>
          <t>2026.03.25.AI_HDSD TREN WEB SUPPORT CBGV.docx</t>
        </is>
      </c>
      <c r="D56" s="2" t="inlineStr">
        <is>
          <t>II -&gt; 1 -&gt; 1.3 -&gt; Bước 1</t>
        </is>
      </c>
      <c r="E56" s="2" t="inlineStr">
        <is>
          <t>Bạn cần chọn chính xác Cơ sở (Ví dụ: Minh Khai, Lĩnh Nam, Nam Định), chọn Tòa nhà (Block) và chọn số Phòng học cụ thể xảy ra sự cố.</t>
        </is>
      </c>
      <c r="F56" s="2" t="inlineStr">
        <is>
          <t>Bạn cần chọn chính xác Cơ sở (Ví dụ: Minh Khai, Lĩnh Nam, Nam Định), chọn Tòa nhà (Block) và chọn số Phòng học cụ thể xảy ra sự cố.; Từ khóa trọng tâm: chọn phòng học; chọn tòa nhà; cơ sở xảy ra sự cố</t>
        </is>
      </c>
      <c r="G56" s="2" t="inlineStr">
        <is>
          <t>chọn phòng học, chọn tòa nhà, cơ sở xảy ra sự cố</t>
        </is>
      </c>
      <c r="H56" s="2" t="inlineStr">
        <is>
          <t>trả lời không có căn cứ khi đáp án chuẩn có thông tin; nguồn không liên quan; sinh viên nếu câu hỏi chỉ dành cho CBGV; nguồn SV sai đối tượng</t>
        </is>
      </c>
      <c r="I56" s="2" t="inlineStr"/>
      <c r="J56" s="2" t="inlineStr"/>
      <c r="K56" s="2" t="inlineStr"/>
      <c r="L56" s="2" t="inlineStr"/>
      <c r="M56" s="2" t="inlineStr"/>
      <c r="N56" s="2" t="inlineStr"/>
      <c r="O56" s="2" t="inlineStr"/>
      <c r="P56" s="2">
        <f>SUM(K56:O56)</f>
        <v/>
      </c>
      <c r="Q56" s="2" t="inlineStr"/>
      <c r="R56" s="2" t="inlineStr"/>
      <c r="S56" s="2" t="inlineStr"/>
      <c r="T56" s="2" t="inlineStr"/>
      <c r="U56" s="2" t="inlineStr"/>
      <c r="V56" s="2" t="inlineStr"/>
      <c r="W56" s="2" t="inlineStr"/>
      <c r="X56" s="2" t="inlineStr"/>
      <c r="Y56" s="2">
        <f>SUM(T56:X56)</f>
        <v/>
      </c>
      <c r="Z56" s="2" t="inlineStr"/>
      <c r="AA56" s="2">
        <f>IF(P56&gt;Y56,"Bot 1",IF(Y56&gt;P56,"Bot 2","Hòa"))</f>
        <v/>
      </c>
      <c r="AB56" s="2">
        <f>ABS(P56-Y56)</f>
        <v/>
      </c>
      <c r="AC56" s="2" t="inlineStr"/>
    </row>
    <row r="57">
      <c r="A57" s="2" t="inlineStr">
        <is>
          <t>PCNTT056</t>
        </is>
      </c>
      <c r="B57" s="2" t="inlineStr">
        <is>
          <t>Mục "Lĩnh vực sự cố" và "Tên sự cố" trong phiếu báo hỏng được chọn như thế nào?</t>
        </is>
      </c>
      <c r="C57" s="2" t="inlineStr">
        <is>
          <t>2026.03.25.AI_HDSD TREN WEB SUPPORT CBGV.docx</t>
        </is>
      </c>
      <c r="D57" s="2" t="inlineStr">
        <is>
          <t>II -&gt; 1 -&gt; 1.3 -&gt; Bước 2</t>
        </is>
      </c>
      <c r="E57" s="2" t="inlineStr">
        <is>
          <t>Hệ thống có danh mục gợi ý sẵn. Bạn chọn Lĩnh vực (Ví dụ: Thiết bị CNTT, Điện tử, Mạng) và Tên sự cố tương ứng (Ví dụ: Máy chiếu không lên, Mất kết nối mạng, Hỏng loa).</t>
        </is>
      </c>
      <c r="F57" s="2" t="inlineStr">
        <is>
          <t>Hệ thống có danh mục gợi ý sẵn. Bạn chọn Lĩnh vực (Ví dụ: Thiết bị CNTT, Điện tử, Mạng) và Tên sự cố tương ứng (Ví dụ: Máy chiếu không lên, Mất kết nối mạng, Hỏng loa).; Từ khóa trọng tâm: lĩnh vực sự cố; máy chiếu không lên; mất wifi; hỏng loa</t>
        </is>
      </c>
      <c r="G57" s="2" t="inlineStr">
        <is>
          <t>lĩnh vực sự cố, máy chiếu không lên, mất wifi, hỏng loa</t>
        </is>
      </c>
      <c r="H57" s="2" t="inlineStr">
        <is>
          <t>trả lời không có căn cứ khi đáp án chuẩn có thông tin; nguồn không liên quan; sinh viên nếu câu hỏi chỉ dành cho CBGV; nguồn SV sai đối tượng</t>
        </is>
      </c>
      <c r="I57" s="2" t="inlineStr"/>
      <c r="J57" s="2" t="inlineStr"/>
      <c r="K57" s="2" t="inlineStr"/>
      <c r="L57" s="2" t="inlineStr"/>
      <c r="M57" s="2" t="inlineStr"/>
      <c r="N57" s="2" t="inlineStr"/>
      <c r="O57" s="2" t="inlineStr"/>
      <c r="P57" s="2">
        <f>SUM(K57:O57)</f>
        <v/>
      </c>
      <c r="Q57" s="2" t="inlineStr"/>
      <c r="R57" s="2" t="inlineStr"/>
      <c r="S57" s="2" t="inlineStr"/>
      <c r="T57" s="2" t="inlineStr"/>
      <c r="U57" s="2" t="inlineStr"/>
      <c r="V57" s="2" t="inlineStr"/>
      <c r="W57" s="2" t="inlineStr"/>
      <c r="X57" s="2" t="inlineStr"/>
      <c r="Y57" s="2">
        <f>SUM(T57:X57)</f>
        <v/>
      </c>
      <c r="Z57" s="2" t="inlineStr"/>
      <c r="AA57" s="2">
        <f>IF(P57&gt;Y57,"Bot 1",IF(Y57&gt;P57,"Bot 2","Hòa"))</f>
        <v/>
      </c>
      <c r="AB57" s="2">
        <f>ABS(P57-Y57)</f>
        <v/>
      </c>
      <c r="AC57" s="2" t="inlineStr"/>
    </row>
    <row r="58">
      <c r="A58" s="2" t="inlineStr">
        <is>
          <t>PCNTT057</t>
        </is>
      </c>
      <c r="B58" s="2" t="inlineStr">
        <is>
          <t>Tôi có bắt buộc phải chụp ảnh thiết bị hỏng khi gửi phiếu báo hỏng không?</t>
        </is>
      </c>
      <c r="C58" s="2" t="inlineStr">
        <is>
          <t>2026.03.25.AI_HDSD TREN WEB SUPPORT CBGV.docx</t>
        </is>
      </c>
      <c r="D58" s="2" t="inlineStr">
        <is>
          <t>II -&gt; 1 -&gt; 1.3 -&gt; Bước 3</t>
        </is>
      </c>
      <c r="E58" s="2" t="inlineStr">
        <is>
          <t>Hệ thống có mục "Đính kèm hình ảnh". Dù không ghi bắt buộc cứng, nhưng việc đính kèm hình ảnh thực tế sự cố giúp kỹ thuật viên dễ dàng nhận diện và chuẩn bị linh kiện thay thế phù hợp.</t>
        </is>
      </c>
      <c r="F58" s="2" t="inlineStr">
        <is>
          <t>Hệ thống có mục "Đính kèm hình ảnh". Dù không ghi bắt buộc cứng, nhưng việc đính kèm hình ảnh thực tế sự cố giúp kỹ thuật viên dễ dàng nhận diện và chuẩn bị linh kiện thay thế phù hợp.; Từ khóa trọng tâm: đính kèm hình ảnh; ảnh chụp sự cố; minh chứng hỏng</t>
        </is>
      </c>
      <c r="G58" s="2" t="inlineStr">
        <is>
          <t>đính kèm hình ảnh, ảnh chụp sự cố, minh chứng hỏng</t>
        </is>
      </c>
      <c r="H58" s="2" t="inlineStr">
        <is>
          <t>trả lời không có căn cứ khi đáp án chuẩn có thông tin; nguồn không liên quan; sinh viên nếu câu hỏi chỉ dành cho CBGV; nguồn SV sai đối tượng</t>
        </is>
      </c>
      <c r="I58" s="2" t="inlineStr"/>
      <c r="J58" s="2" t="inlineStr"/>
      <c r="K58" s="2" t="inlineStr"/>
      <c r="L58" s="2" t="inlineStr"/>
      <c r="M58" s="2" t="inlineStr"/>
      <c r="N58" s="2" t="inlineStr"/>
      <c r="O58" s="2" t="inlineStr"/>
      <c r="P58" s="2">
        <f>SUM(K58:O58)</f>
        <v/>
      </c>
      <c r="Q58" s="2" t="inlineStr"/>
      <c r="R58" s="2" t="inlineStr"/>
      <c r="S58" s="2" t="inlineStr"/>
      <c r="T58" s="2" t="inlineStr"/>
      <c r="U58" s="2" t="inlineStr"/>
      <c r="V58" s="2" t="inlineStr"/>
      <c r="W58" s="2" t="inlineStr"/>
      <c r="X58" s="2" t="inlineStr"/>
      <c r="Y58" s="2">
        <f>SUM(T58:X58)</f>
        <v/>
      </c>
      <c r="Z58" s="2" t="inlineStr"/>
      <c r="AA58" s="2">
        <f>IF(P58&gt;Y58,"Bot 1",IF(Y58&gt;P58,"Bot 2","Hòa"))</f>
        <v/>
      </c>
      <c r="AB58" s="2">
        <f>ABS(P58-Y58)</f>
        <v/>
      </c>
      <c r="AC58" s="2" t="inlineStr"/>
    </row>
    <row r="59">
      <c r="A59" s="2" t="inlineStr">
        <is>
          <t>PCNTT058</t>
        </is>
      </c>
      <c r="B59" s="2" t="inlineStr">
        <is>
          <t>Sau khi nhập xong mô tả sự cố thiết bị, tôi làm gì để hoàn tất gửi yêu cầu?</t>
        </is>
      </c>
      <c r="C59" s="2" t="inlineStr">
        <is>
          <t>2026.03.25.AI_HDSD TREN WEB SUPPORT CBGV.docx</t>
        </is>
      </c>
      <c r="D59" s="2" t="inlineStr">
        <is>
          <t>II -&gt; 1 -&gt; 1.3 -&gt; Bước 4</t>
        </is>
      </c>
      <c r="E59" s="2" t="inlineStr">
        <is>
          <t>Bạn kiểm tra lại thông tin, tích chọn đúng thiết bị lỗi trong danh sách hiển thị phía dưới (nếu chọn theo cụ thể thiết bị) và nhấn nút "Gửi yêu cầu".</t>
        </is>
      </c>
      <c r="F59" s="2" t="inlineStr">
        <is>
          <t>Bạn kiểm tra lại thông tin, tích chọn đúng thiết bị lỗi trong danh sách hiển thị phía dưới (nếu chọn theo cụ thể thiết bị) và nhấn nút "Gửi yêu cầu".; Từ khóa trọng tâm: nút gửi yêu cầu; hoàn tất báo hỏng; gửi phiếu sửa chữa</t>
        </is>
      </c>
      <c r="G59" s="2" t="inlineStr">
        <is>
          <t>nút gửi yêu cầu, hoàn tất báo hỏng, gửi phiếu sửa chữa</t>
        </is>
      </c>
      <c r="H59" s="2" t="inlineStr">
        <is>
          <t>trả lời không có căn cứ khi đáp án chuẩn có thông tin; nguồn không liên quan; sinh viên nếu câu hỏi chỉ dành cho CBGV; nguồn SV sai đối tượng</t>
        </is>
      </c>
      <c r="I59" s="2" t="inlineStr"/>
      <c r="J59" s="2" t="inlineStr"/>
      <c r="K59" s="2" t="inlineStr"/>
      <c r="L59" s="2" t="inlineStr"/>
      <c r="M59" s="2" t="inlineStr"/>
      <c r="N59" s="2" t="inlineStr"/>
      <c r="O59" s="2" t="inlineStr"/>
      <c r="P59" s="2">
        <f>SUM(K59:O59)</f>
        <v/>
      </c>
      <c r="Q59" s="2" t="inlineStr"/>
      <c r="R59" s="2" t="inlineStr"/>
      <c r="S59" s="2" t="inlineStr"/>
      <c r="T59" s="2" t="inlineStr"/>
      <c r="U59" s="2" t="inlineStr"/>
      <c r="V59" s="2" t="inlineStr"/>
      <c r="W59" s="2" t="inlineStr"/>
      <c r="X59" s="2" t="inlineStr"/>
      <c r="Y59" s="2">
        <f>SUM(T59:X59)</f>
        <v/>
      </c>
      <c r="Z59" s="2" t="inlineStr"/>
      <c r="AA59" s="2">
        <f>IF(P59&gt;Y59,"Bot 1",IF(Y59&gt;P59,"Bot 2","Hòa"))</f>
        <v/>
      </c>
      <c r="AB59" s="2">
        <f>ABS(P59-Y59)</f>
        <v/>
      </c>
      <c r="AC59" s="2" t="inlineStr"/>
    </row>
    <row r="60">
      <c r="A60" s="2" t="inlineStr">
        <is>
          <t>PCNTT059</t>
        </is>
      </c>
      <c r="B60" s="2" t="inlineStr">
        <is>
          <t>Làm thế nào để giảng viên xem lại trạng thái các phiếu báo hỏng mình đã gửi?</t>
        </is>
      </c>
      <c r="C60" s="2" t="inlineStr">
        <is>
          <t>2026.03.25.AI_HDSD TREN WEB SUPPORT CBGV.docx</t>
        </is>
      </c>
      <c r="D60" s="2" t="inlineStr">
        <is>
          <t>II -&gt; 2 -&gt; 2.1</t>
        </is>
      </c>
      <c r="E60" s="2" t="inlineStr">
        <is>
          <t>Bạn truy cập menu "Quản lý thiết bị giảng đường" -&gt; Chọn chức năng "Danh sách yêu cầu báo hỏng" để theo dõi tiến độ xử lý của kỹ thuật viên.</t>
        </is>
      </c>
      <c r="F60" s="2" t="inlineStr">
        <is>
          <t>Bạn truy cập menu "Quản lý thiết bị giảng đường" -&gt; Chọn chức năng "Danh sách yêu cầu báo hỏng" để theo dõi tiến độ xử lý của kỹ thuật viên.; Từ khóa trọng tâm: xem tiến độ sửa chữa; danh sách phiếu báo hỏng; kiểm tra trạng thái</t>
        </is>
      </c>
      <c r="G60" s="2" t="inlineStr">
        <is>
          <t>xem tiến độ sửa chữa, danh sách phiếu báo hỏng, kiểm tra trạng thái</t>
        </is>
      </c>
      <c r="H60" s="2" t="inlineStr">
        <is>
          <t>trả lời không có căn cứ khi đáp án chuẩn có thông tin; nguồn không liên quan; sinh viên nếu câu hỏi chỉ dành cho CBGV; nguồn SV sai đối tượng; trả lời quy chế chung nhưng không nêu thao tác hệ thống</t>
        </is>
      </c>
      <c r="I60" s="2" t="inlineStr"/>
      <c r="J60" s="2" t="inlineStr"/>
      <c r="K60" s="2" t="inlineStr"/>
      <c r="L60" s="2" t="inlineStr"/>
      <c r="M60" s="2" t="inlineStr"/>
      <c r="N60" s="2" t="inlineStr"/>
      <c r="O60" s="2" t="inlineStr"/>
      <c r="P60" s="2">
        <f>SUM(K60:O60)</f>
        <v/>
      </c>
      <c r="Q60" s="2" t="inlineStr"/>
      <c r="R60" s="2" t="inlineStr"/>
      <c r="S60" s="2" t="inlineStr"/>
      <c r="T60" s="2" t="inlineStr"/>
      <c r="U60" s="2" t="inlineStr"/>
      <c r="V60" s="2" t="inlineStr"/>
      <c r="W60" s="2" t="inlineStr"/>
      <c r="X60" s="2" t="inlineStr"/>
      <c r="Y60" s="2">
        <f>SUM(T60:X60)</f>
        <v/>
      </c>
      <c r="Z60" s="2" t="inlineStr"/>
      <c r="AA60" s="2">
        <f>IF(P60&gt;Y60,"Bot 1",IF(Y60&gt;P60,"Bot 2","Hòa"))</f>
        <v/>
      </c>
      <c r="AB60" s="2">
        <f>ABS(P60-Y60)</f>
        <v/>
      </c>
      <c r="AC60" s="2" t="inlineStr"/>
    </row>
    <row r="61">
      <c r="A61" s="2" t="inlineStr">
        <is>
          <t>PCNTT060</t>
        </is>
      </c>
      <c r="B61" s="2" t="inlineStr">
        <is>
          <t>Màn hình "Danh sách yêu cầu báo hỏng" hiển thị những thông tin quản lý nào?</t>
        </is>
      </c>
      <c r="C61" s="2" t="inlineStr">
        <is>
          <t>2026.03.25.AI_HDSD TREN WEB SUPPORT CBGV.docx</t>
        </is>
      </c>
      <c r="D61" s="2" t="inlineStr">
        <is>
          <t>II -&gt; 2 -&gt; 2.2</t>
        </is>
      </c>
      <c r="E61" s="2" t="inlineStr">
        <is>
          <t>Màn hình hiển thị: Mã yêu cầu, Ngày gửi, Vị trí phòng học, Nội dung sự cố, Người tiếp nhận xử lý và Trạng thái xử lý (Chờ tiếp nhận/Đang xử lý/Đã hoàn thành).</t>
        </is>
      </c>
      <c r="F61" s="2" t="inlineStr">
        <is>
          <t>Màn hình hiển thị: Mã yêu cầu, Ngày gửi, Vị trí phòng học, Nội dung sự cố, Người tiếp nhận xử lý và Trạng thái xử lý (Chờ tiếp nhận/Đang xử lý/Đã hoàn thành).; Từ khóa trọng tâm: người tiếp nhận; trạng thái xử lý; mã yêu cầu sửa chữa; ngày gửi</t>
        </is>
      </c>
      <c r="G61" s="2" t="inlineStr">
        <is>
          <t>người tiếp nhận, trạng thái xử lý, mã yêu cầu sửa chữa, ngày gửi</t>
        </is>
      </c>
      <c r="H61" s="2" t="inlineStr">
        <is>
          <t>trả lời không có căn cứ khi đáp án chuẩn có thông tin; nguồn không liên quan; sinh viên nếu câu hỏi chỉ dành cho CBGV; nguồn SV sai đối tượng</t>
        </is>
      </c>
      <c r="I61" s="2" t="inlineStr"/>
      <c r="J61" s="2" t="inlineStr"/>
      <c r="K61" s="2" t="inlineStr"/>
      <c r="L61" s="2" t="inlineStr"/>
      <c r="M61" s="2" t="inlineStr"/>
      <c r="N61" s="2" t="inlineStr"/>
      <c r="O61" s="2" t="inlineStr"/>
      <c r="P61" s="2">
        <f>SUM(K61:O61)</f>
        <v/>
      </c>
      <c r="Q61" s="2" t="inlineStr"/>
      <c r="R61" s="2" t="inlineStr"/>
      <c r="S61" s="2" t="inlineStr"/>
      <c r="T61" s="2" t="inlineStr"/>
      <c r="U61" s="2" t="inlineStr"/>
      <c r="V61" s="2" t="inlineStr"/>
      <c r="W61" s="2" t="inlineStr"/>
      <c r="X61" s="2" t="inlineStr"/>
      <c r="Y61" s="2">
        <f>SUM(T61:X61)</f>
        <v/>
      </c>
      <c r="Z61" s="2" t="inlineStr"/>
      <c r="AA61" s="2">
        <f>IF(P61&gt;Y61,"Bot 1",IF(Y61&gt;P61,"Bot 2","Hòa"))</f>
        <v/>
      </c>
      <c r="AB61" s="2">
        <f>ABS(P61-Y61)</f>
        <v/>
      </c>
      <c r="AC61" s="2" t="inlineStr"/>
    </row>
    <row r="62">
      <c r="A62" s="2" t="inlineStr">
        <is>
          <t>PCNTT061</t>
        </is>
      </c>
      <c r="B62" s="2" t="inlineStr">
        <is>
          <t>Chức năng "Thống kê một cửa" dành cho đối tượng cán bộ nào sử dụng?</t>
        </is>
      </c>
      <c r="C62" s="2" t="inlineStr">
        <is>
          <t>2026.03.25.AI_HDSD TREN WEB SUPPORT CBGV.docx</t>
        </is>
      </c>
      <c r="D62" s="2" t="inlineStr">
        <is>
          <t>III -&gt; 1 -&gt; 1.1</t>
        </is>
      </c>
      <c r="E62" s="2" t="inlineStr">
        <is>
          <t>Chức năng này dành cho Cán bộ quản lý hoặc Cán bộ được phân quyền nghiệp vụ để theo dõi, thống kê số liệu và đánh giá chất lượng giải quyết thủ tục hành chính của sinh viên.</t>
        </is>
      </c>
      <c r="F62" s="2" t="inlineStr">
        <is>
          <t>Chức năng này dành cho Cán bộ quản lý hoặc Cán bộ được phân quyền nghiệp vụ để theo dõi, thống kê số liệu và đánh giá chất lượng giải quyết thủ tục hành chính của sinh viên.; Từ khóa trọng tâm: cán bộ quản lý; theo dõi một cửa; phân quyền thống kê</t>
        </is>
      </c>
      <c r="G62" s="2" t="inlineStr">
        <is>
          <t>cán bộ quản lý, theo dõi một cửa, phân quyền thống kê</t>
        </is>
      </c>
      <c r="H62" s="2" t="inlineStr">
        <is>
          <t>trả lời không có căn cứ khi đáp án chuẩn có thông tin; nguồn không liên quan; sinh viên nếu câu hỏi chỉ dành cho CBGV; nguồn SV sai đối tượng</t>
        </is>
      </c>
      <c r="I62" s="2" t="inlineStr"/>
      <c r="J62" s="2" t="inlineStr"/>
      <c r="K62" s="2" t="inlineStr"/>
      <c r="L62" s="2" t="inlineStr"/>
      <c r="M62" s="2" t="inlineStr"/>
      <c r="N62" s="2" t="inlineStr"/>
      <c r="O62" s="2" t="inlineStr"/>
      <c r="P62" s="2">
        <f>SUM(K62:O62)</f>
        <v/>
      </c>
      <c r="Q62" s="2" t="inlineStr"/>
      <c r="R62" s="2" t="inlineStr"/>
      <c r="S62" s="2" t="inlineStr"/>
      <c r="T62" s="2" t="inlineStr"/>
      <c r="U62" s="2" t="inlineStr"/>
      <c r="V62" s="2" t="inlineStr"/>
      <c r="W62" s="2" t="inlineStr"/>
      <c r="X62" s="2" t="inlineStr"/>
      <c r="Y62" s="2">
        <f>SUM(T62:X62)</f>
        <v/>
      </c>
      <c r="Z62" s="2" t="inlineStr"/>
      <c r="AA62" s="2">
        <f>IF(P62&gt;Y62,"Bot 1",IF(Y62&gt;P62,"Bot 2","Hòa"))</f>
        <v/>
      </c>
      <c r="AB62" s="2">
        <f>ABS(P62-Y62)</f>
        <v/>
      </c>
      <c r="AC62" s="2" t="inlineStr"/>
    </row>
    <row r="63">
      <c r="A63" s="2" t="inlineStr">
        <is>
          <t>PCNTT062</t>
        </is>
      </c>
      <c r="B63" s="2" t="inlineStr">
        <is>
          <t>Chức năng "Thống kê một cửa" giúp cán bộ quản lý được những chỉ số gì?</t>
        </is>
      </c>
      <c r="C63" s="2" t="inlineStr">
        <is>
          <t>2026.03.25.AI_HDSD TREN WEB SUPPORT CBGV.docx</t>
        </is>
      </c>
      <c r="D63" s="2" t="inlineStr">
        <is>
          <t>III -&gt; 1 -&gt; 1.1</t>
        </is>
      </c>
      <c r="E63" s="2" t="inlineStr">
        <is>
          <t>Giúp theo dõi tổng số lượng hồ sơ tiếp nhận, tỷ lệ hồ sơ đã xử lý đúng hạn/quá hạn, số lượng hồ sơ chưa đánh giá và biểu đồ mức độ hài lòng của sinh viên.</t>
        </is>
      </c>
      <c r="F63" s="2" t="inlineStr">
        <is>
          <t>Giúp theo dõi tổng số lượng hồ sơ tiếp nhận, tỷ lệ hồ sơ đã xử lý đúng hạn/quá hạn, số lượng hồ sơ chưa đánh giá và biểu đồ mức độ hài lòng của sinh viên.; Từ khóa trọng tâm: tỷ lệ đúng hạn; hồ sơ quá hạn; chỉ số hài lòng; thống kê một cửa</t>
        </is>
      </c>
      <c r="G63" s="2" t="inlineStr">
        <is>
          <t>tỷ lệ đúng hạn, hồ sơ quá hạn, chỉ số hài lòng, thống kê một cửa</t>
        </is>
      </c>
      <c r="H63" s="2" t="inlineStr">
        <is>
          <t>trả lời không có căn cứ khi đáp án chuẩn có thông tin; nguồn không liên quan; sinh viên nếu câu hỏi chỉ dành cho CBGV; nguồn SV sai đối tượng; trả lời quy chế chung nhưng không nêu thao tác hệ thống</t>
        </is>
      </c>
      <c r="I63" s="2" t="inlineStr"/>
      <c r="J63" s="2" t="inlineStr"/>
      <c r="K63" s="2" t="inlineStr"/>
      <c r="L63" s="2" t="inlineStr"/>
      <c r="M63" s="2" t="inlineStr"/>
      <c r="N63" s="2" t="inlineStr"/>
      <c r="O63" s="2" t="inlineStr"/>
      <c r="P63" s="2">
        <f>SUM(K63:O63)</f>
        <v/>
      </c>
      <c r="Q63" s="2" t="inlineStr"/>
      <c r="R63" s="2" t="inlineStr"/>
      <c r="S63" s="2" t="inlineStr"/>
      <c r="T63" s="2" t="inlineStr"/>
      <c r="U63" s="2" t="inlineStr"/>
      <c r="V63" s="2" t="inlineStr"/>
      <c r="W63" s="2" t="inlineStr"/>
      <c r="X63" s="2" t="inlineStr"/>
      <c r="Y63" s="2">
        <f>SUM(T63:X63)</f>
        <v/>
      </c>
      <c r="Z63" s="2" t="inlineStr"/>
      <c r="AA63" s="2">
        <f>IF(P63&gt;Y63,"Bot 1",IF(Y63&gt;P63,"Bot 2","Hòa"))</f>
        <v/>
      </c>
      <c r="AB63" s="2">
        <f>ABS(P63-Y63)</f>
        <v/>
      </c>
      <c r="AC63" s="2" t="inlineStr"/>
    </row>
    <row r="64">
      <c r="A64" s="2" t="inlineStr">
        <is>
          <t>PCNTT063</t>
        </is>
      </c>
      <c r="B64" s="2" t="inlineStr">
        <is>
          <t>Làm thế nào để truy cập vào màn hình Thống kê một cửa?</t>
        </is>
      </c>
      <c r="C64" s="2" t="inlineStr">
        <is>
          <t>2026.03.25.AI_HDSD TREN WEB SUPPORT CBGV.docx</t>
        </is>
      </c>
      <c r="D64" s="2" t="inlineStr">
        <is>
          <t>III -&gt; 1 -&gt; 1.2</t>
        </is>
      </c>
      <c r="E64" s="2" t="inlineStr">
        <is>
          <t>Đăng nhập hệ thống support, chọn menu "Thống kê một cửa" hoặc truy cập trực tiếp qua đường dẫn do phân hệ quản lý cung cấp.</t>
        </is>
      </c>
      <c r="F64" s="2" t="inlineStr">
        <is>
          <t>Đăng nhập hệ thống support, chọn menu "Thống kê một cửa" hoặc truy cập trực tiếp qua đường dẫn do phân hệ quản lý cung cấp.; Từ khóa trọng tâm: link thống kê một cửa; menu một cửa cán bộ</t>
        </is>
      </c>
      <c r="G64" s="2" t="inlineStr">
        <is>
          <t>link thống kê một cửa, menu một cửa cán bộ</t>
        </is>
      </c>
      <c r="H64" s="2" t="inlineStr">
        <is>
          <t>trả lời không có căn cứ khi đáp án chuẩn có thông tin; nguồn không liên quan; sinh viên nếu câu hỏi chỉ dành cho CBGV; nguồn SV sai đối tượng; trả lời quy chế chung nhưng không nêu thao tác hệ thống</t>
        </is>
      </c>
      <c r="I64" s="2" t="inlineStr"/>
      <c r="J64" s="2" t="inlineStr"/>
      <c r="K64" s="2" t="inlineStr"/>
      <c r="L64" s="2" t="inlineStr"/>
      <c r="M64" s="2" t="inlineStr"/>
      <c r="N64" s="2" t="inlineStr"/>
      <c r="O64" s="2" t="inlineStr"/>
      <c r="P64" s="2">
        <f>SUM(K64:O64)</f>
        <v/>
      </c>
      <c r="Q64" s="2" t="inlineStr"/>
      <c r="R64" s="2" t="inlineStr"/>
      <c r="S64" s="2" t="inlineStr"/>
      <c r="T64" s="2" t="inlineStr"/>
      <c r="U64" s="2" t="inlineStr"/>
      <c r="V64" s="2" t="inlineStr"/>
      <c r="W64" s="2" t="inlineStr"/>
      <c r="X64" s="2" t="inlineStr"/>
      <c r="Y64" s="2">
        <f>SUM(T64:X64)</f>
        <v/>
      </c>
      <c r="Z64" s="2" t="inlineStr"/>
      <c r="AA64" s="2">
        <f>IF(P64&gt;Y64,"Bot 1",IF(Y64&gt;P64,"Bot 2","Hòa"))</f>
        <v/>
      </c>
      <c r="AB64" s="2">
        <f>ABS(P64-Y64)</f>
        <v/>
      </c>
      <c r="AC64" s="2" t="inlineStr"/>
    </row>
    <row r="65">
      <c r="A65" s="2" t="inlineStr">
        <is>
          <t>PCNTT064</t>
        </is>
      </c>
      <c r="B65" s="2" t="inlineStr">
        <is>
          <t>Tôi có thể lọc dữ liệu thống kê một cửa theo những tiêu chí nào để xem báo cáo?</t>
        </is>
      </c>
      <c r="C65" s="2" t="inlineStr">
        <is>
          <t>2026.03.25.AI_HDSD TREN WEB SUPPORT CBGV.docx</t>
        </is>
      </c>
      <c r="D65" s="2" t="inlineStr">
        <is>
          <t>III -&gt; 1 -&gt; 1.3 -&gt; a</t>
        </is>
      </c>
      <c r="E65" s="2" t="inlineStr">
        <is>
          <t>Bạn có thể lọc theo: Từ ngày - Đến ngày (Khoảng thời gian), Tên nhóm thủ tục (Ví dụ: Đào tạo, CTSV), Tên cụ thể loại thủ tục, Khoa, Ngành học hoặc Khóa học của sinh viên.</t>
        </is>
      </c>
      <c r="F65" s="2" t="inlineStr">
        <is>
          <t>Bạn có thể lọc theo: Từ ngày - Đến ngày (Khoảng thời gian), Tên nhóm thủ tục (Ví dụ: Đào tạo, CTSV), Tên cụ thể loại thủ tục, Khoa, Ngành học hoặc Khóa học của sinh viên.; Từ khóa trọng tâm: bộ lọc dữ liệu; lọc theo ngày; lọc theo khoa; chọn khóa học</t>
        </is>
      </c>
      <c r="G65" s="2" t="inlineStr">
        <is>
          <t>bộ lọc dữ liệu, lọc theo ngày, lọc theo khoa, chọn khóa học</t>
        </is>
      </c>
      <c r="H65" s="2" t="inlineStr">
        <is>
          <t>trả lời không có căn cứ khi đáp án chuẩn có thông tin; nguồn không liên quan; sinh viên nếu câu hỏi chỉ dành cho CBGV; nguồn SV sai đối tượng; trả lời quy chế chung nhưng không nêu thao tác hệ thống</t>
        </is>
      </c>
      <c r="I65" s="2" t="inlineStr"/>
      <c r="J65" s="2" t="inlineStr"/>
      <c r="K65" s="2" t="inlineStr"/>
      <c r="L65" s="2" t="inlineStr"/>
      <c r="M65" s="2" t="inlineStr"/>
      <c r="N65" s="2" t="inlineStr"/>
      <c r="O65" s="2" t="inlineStr"/>
      <c r="P65" s="2">
        <f>SUM(K65:O65)</f>
        <v/>
      </c>
      <c r="Q65" s="2" t="inlineStr"/>
      <c r="R65" s="2" t="inlineStr"/>
      <c r="S65" s="2" t="inlineStr"/>
      <c r="T65" s="2" t="inlineStr"/>
      <c r="U65" s="2" t="inlineStr"/>
      <c r="V65" s="2" t="inlineStr"/>
      <c r="W65" s="2" t="inlineStr"/>
      <c r="X65" s="2" t="inlineStr"/>
      <c r="Y65" s="2">
        <f>SUM(T65:X65)</f>
        <v/>
      </c>
      <c r="Z65" s="2" t="inlineStr"/>
      <c r="AA65" s="2">
        <f>IF(P65&gt;Y65,"Bot 1",IF(Y65&gt;P65,"Bot 2","Hòa"))</f>
        <v/>
      </c>
      <c r="AB65" s="2">
        <f>ABS(P65-Y65)</f>
        <v/>
      </c>
      <c r="AC65" s="2" t="inlineStr"/>
    </row>
    <row r="66">
      <c r="A66" s="2" t="inlineStr">
        <is>
          <t>PCNTT065</t>
        </is>
      </c>
      <c r="B66" s="2" t="inlineStr">
        <is>
          <t>Sau khi thiết lập các điều kiện lọc dữ liệu một cửa, tôi phải ấn nút nào để xem kết quả?</t>
        </is>
      </c>
      <c r="C66" s="2" t="inlineStr">
        <is>
          <t>2026.03.25.AI_HDSD TREN WEB SUPPORT CBGV.docx</t>
        </is>
      </c>
      <c r="D66" s="2" t="inlineStr">
        <is>
          <t>III -&gt; 1 -&gt; 1.3 -&gt; a</t>
        </is>
      </c>
      <c r="E66" s="2" t="inlineStr">
        <is>
          <t>Sau khi chọn xong các điều kiện tại bộ lọc, bạn bắt buộc phải nhấn nút "Tìm kiếm" để hệ thống cập nhật và hiển thị số liệu mới tương ứng.</t>
        </is>
      </c>
      <c r="F66" s="2" t="inlineStr">
        <is>
          <t>Sau khi chọn xong các điều kiện tại bộ lọc, bạn bắt buộc phải nhấn nút "Tìm kiếm" để hệ thống cập nhật và hiển thị số liệu mới tương ứng.; Từ khóa trọng tâm: nút tìm kiếm; cập nhật số liệu; áp dụng bộ lọc</t>
        </is>
      </c>
      <c r="G66" s="2" t="inlineStr">
        <is>
          <t>nút tìm kiếm, cập nhật số liệu, áp dụng bộ lọc</t>
        </is>
      </c>
      <c r="H66" s="2" t="inlineStr">
        <is>
          <t>trả lời không có căn cứ khi đáp án chuẩn có thông tin; nguồn không liên quan; sinh viên nếu câu hỏi chỉ dành cho CBGV; nguồn SV sai đối tượng; trả lời quy chế chung nhưng không nêu thao tác hệ thống</t>
        </is>
      </c>
      <c r="I66" s="2" t="inlineStr"/>
      <c r="J66" s="2" t="inlineStr"/>
      <c r="K66" s="2" t="inlineStr"/>
      <c r="L66" s="2" t="inlineStr"/>
      <c r="M66" s="2" t="inlineStr"/>
      <c r="N66" s="2" t="inlineStr"/>
      <c r="O66" s="2" t="inlineStr"/>
      <c r="P66" s="2">
        <f>SUM(K66:O66)</f>
        <v/>
      </c>
      <c r="Q66" s="2" t="inlineStr"/>
      <c r="R66" s="2" t="inlineStr"/>
      <c r="S66" s="2" t="inlineStr"/>
      <c r="T66" s="2" t="inlineStr"/>
      <c r="U66" s="2" t="inlineStr"/>
      <c r="V66" s="2" t="inlineStr"/>
      <c r="W66" s="2" t="inlineStr"/>
      <c r="X66" s="2" t="inlineStr"/>
      <c r="Y66" s="2">
        <f>SUM(T66:X66)</f>
        <v/>
      </c>
      <c r="Z66" s="2" t="inlineStr"/>
      <c r="AA66" s="2">
        <f>IF(P66&gt;Y66,"Bot 1",IF(Y66&gt;P66,"Bot 2","Hòa"))</f>
        <v/>
      </c>
      <c r="AB66" s="2">
        <f>ABS(P66-Y66)</f>
        <v/>
      </c>
      <c r="AC66" s="2" t="inlineStr"/>
    </row>
    <row r="67">
      <c r="A67" s="2" t="inlineStr">
        <is>
          <t>PCNTT066</t>
        </is>
      </c>
      <c r="B67" s="2" t="inlineStr">
        <is>
          <t>Làm cách nào để hủy bỏ các điều kiện lọc và đưa dữ liệu thống kê về trạng thái ban đầu?</t>
        </is>
      </c>
      <c r="C67" s="2" t="inlineStr">
        <is>
          <t>2026.03.25.AI_HDSD TREN WEB SUPPORT CBGV.docx</t>
        </is>
      </c>
      <c r="D67" s="2" t="inlineStr">
        <is>
          <t>III -&gt; 1 -&gt; 1.3 -&gt; a</t>
        </is>
      </c>
      <c r="E67" s="2" t="inlineStr">
        <is>
          <t>Bạn chỉ cần nhấn vào nút "Xóa lọc" (hoặc Đặt lại), hệ thống sẽ tự động xóa các tiêu chí đã chọn và đưa bảng thống kê về trạng thái mặc định toàn trường.</t>
        </is>
      </c>
      <c r="F67" s="2" t="inlineStr">
        <is>
          <t>Bạn chỉ cần nhấn vào nút "Xóa lọc" (hoặc Đặt lại), hệ thống sẽ tự động xóa các tiêu chí đã chọn và đưa bảng thống kê về trạng thái mặc định toàn trường.; Từ khóa trọng tâm: xóa lọc; đặt lại bộ lọc; hủy bộ lọc; xem mặc định</t>
        </is>
      </c>
      <c r="G67" s="2" t="inlineStr">
        <is>
          <t>xóa lọc, đặt lại bộ lọc, hủy bộ lọc, xem mặc định</t>
        </is>
      </c>
      <c r="H67" s="2" t="inlineStr">
        <is>
          <t>trả lời không có căn cứ khi đáp án chuẩn có thông tin; nguồn không liên quan; sinh viên nếu câu hỏi chỉ dành cho CBGV; nguồn SV sai đối tượng; trả lời quy chế chung nhưng không nêu thao tác hệ thống</t>
        </is>
      </c>
      <c r="I67" s="2" t="inlineStr"/>
      <c r="J67" s="2" t="inlineStr"/>
      <c r="K67" s="2" t="inlineStr"/>
      <c r="L67" s="2" t="inlineStr"/>
      <c r="M67" s="2" t="inlineStr"/>
      <c r="N67" s="2" t="inlineStr"/>
      <c r="O67" s="2" t="inlineStr"/>
      <c r="P67" s="2">
        <f>SUM(K67:O67)</f>
        <v/>
      </c>
      <c r="Q67" s="2" t="inlineStr"/>
      <c r="R67" s="2" t="inlineStr"/>
      <c r="S67" s="2" t="inlineStr"/>
      <c r="T67" s="2" t="inlineStr"/>
      <c r="U67" s="2" t="inlineStr"/>
      <c r="V67" s="2" t="inlineStr"/>
      <c r="W67" s="2" t="inlineStr"/>
      <c r="X67" s="2" t="inlineStr"/>
      <c r="Y67" s="2">
        <f>SUM(T67:X67)</f>
        <v/>
      </c>
      <c r="Z67" s="2" t="inlineStr"/>
      <c r="AA67" s="2">
        <f>IF(P67&gt;Y67,"Bot 1",IF(Y67&gt;P67,"Bot 2","Hòa"))</f>
        <v/>
      </c>
      <c r="AB67" s="2">
        <f>ABS(P67-Y67)</f>
        <v/>
      </c>
      <c r="AC67" s="2" t="inlineStr"/>
    </row>
    <row r="68">
      <c r="A68" s="2" t="inlineStr">
        <is>
          <t>PCNTT067</t>
        </is>
      </c>
      <c r="B68" s="2" t="inlineStr">
        <is>
          <t>"Biểu đồ mức độ hài lòng của sinh viên" trong Thống kê một cửa hiển thị những mức đánh giá nào?</t>
        </is>
      </c>
      <c r="C68" s="2" t="inlineStr">
        <is>
          <t>2026.03.25.AI_HDSD TREN WEB SUPPORT CBGV.docx</t>
        </is>
      </c>
      <c r="D68" s="2" t="inlineStr">
        <is>
          <t>III -&gt; 1 -&gt; 1.3 -&gt; b</t>
        </is>
      </c>
      <c r="E68" s="2" t="inlineStr">
        <is>
          <t>Biểu đồ tổng hợp tự động 4 mức độ đánh giá từ sinh viên sau khi nhận kết quả thủ tục, bao gồm: Rất hài lòng, Hài lòng, Bình thường, và Không hài lòng.</t>
        </is>
      </c>
      <c r="F68" s="2" t="inlineStr">
        <is>
          <t>Biểu đồ tổng hợp tự động 4 mức độ đánh giá từ sinh viên sau khi nhận kết quả thủ tục, bao gồm: Rất hài lòng, Hài lòng, Bình thường, và Không hài lòng.; Từ khóa trọng tâm: đánh giá sinh viên; rất hài lòng; không hài lòng; biểu đồ đánh giá</t>
        </is>
      </c>
      <c r="G68" s="2" t="inlineStr">
        <is>
          <t>đánh giá sinh viên, rất hài lòng, không hài lòng, biểu đồ đánh giá</t>
        </is>
      </c>
      <c r="H68" s="2" t="inlineStr">
        <is>
          <t>trả lời không có căn cứ khi đáp án chuẩn có thông tin; nguồn không liên quan; sinh viên nếu câu hỏi chỉ dành cho CBGV; nguồn SV sai đối tượng</t>
        </is>
      </c>
      <c r="I68" s="2" t="inlineStr"/>
      <c r="J68" s="2" t="inlineStr"/>
      <c r="K68" s="2" t="inlineStr"/>
      <c r="L68" s="2" t="inlineStr"/>
      <c r="M68" s="2" t="inlineStr"/>
      <c r="N68" s="2" t="inlineStr"/>
      <c r="O68" s="2" t="inlineStr"/>
      <c r="P68" s="2">
        <f>SUM(K68:O68)</f>
        <v/>
      </c>
      <c r="Q68" s="2" t="inlineStr"/>
      <c r="R68" s="2" t="inlineStr"/>
      <c r="S68" s="2" t="inlineStr"/>
      <c r="T68" s="2" t="inlineStr"/>
      <c r="U68" s="2" t="inlineStr"/>
      <c r="V68" s="2" t="inlineStr"/>
      <c r="W68" s="2" t="inlineStr"/>
      <c r="X68" s="2" t="inlineStr"/>
      <c r="Y68" s="2">
        <f>SUM(T68:X68)</f>
        <v/>
      </c>
      <c r="Z68" s="2" t="inlineStr"/>
      <c r="AA68" s="2">
        <f>IF(P68&gt;Y68,"Bot 1",IF(Y68&gt;P68,"Bot 2","Hòa"))</f>
        <v/>
      </c>
      <c r="AB68" s="2">
        <f>ABS(P68-Y68)</f>
        <v/>
      </c>
      <c r="AC68" s="2" t="inlineStr"/>
    </row>
    <row r="69">
      <c r="A69" s="2" t="inlineStr">
        <is>
          <t>PCNTT068</t>
        </is>
      </c>
      <c r="B69" s="2" t="inlineStr">
        <is>
          <t>Biểu đồ mức độ hài lòng của sinh viên có tự động thay đổi theo bộ lọc không?</t>
        </is>
      </c>
      <c r="C69" s="2" t="inlineStr">
        <is>
          <t>2026.03.25.AI_HDSD TREN WEB SUPPORT CBGV.docx</t>
        </is>
      </c>
      <c r="D69" s="2" t="inlineStr">
        <is>
          <t>III -&gt; 1 -&gt; 1.3 -&gt; b</t>
        </is>
      </c>
      <c r="E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F69" s="2" t="inlineStr">
        <is>
          <t>Có. Khi cán bộ thay đổi bộ lọc (Ví dụ chọn Khoa CNTT hoặc một thủ tục cụ thể), biểu đồ sẽ tự động cập nhật số liệu tương ứng để đánh giá chất lượng theo từng giai đoạn hoặc đơn vị.; Từ khóa trọng tâm: cập nhật biểu đồ; chất lượng xử lý theo khoa; tự động cập nhật</t>
        </is>
      </c>
      <c r="G69" s="2" t="inlineStr">
        <is>
          <t>cập nhật biểu đồ, chất lượng xử lý theo khoa, tự động cập nhật</t>
        </is>
      </c>
      <c r="H69" s="2" t="inlineStr">
        <is>
          <t>trả lời không có căn cứ khi đáp án chuẩn có thông tin; nguồn không liên quan; sinh viên nếu câu hỏi chỉ dành cho CBGV; nguồn SV sai đối tượng</t>
        </is>
      </c>
      <c r="I69" s="2" t="inlineStr"/>
      <c r="J69" s="2" t="inlineStr"/>
      <c r="K69" s="2" t="inlineStr"/>
      <c r="L69" s="2" t="inlineStr"/>
      <c r="M69" s="2" t="inlineStr"/>
      <c r="N69" s="2" t="inlineStr"/>
      <c r="O69" s="2" t="inlineStr"/>
      <c r="P69" s="2">
        <f>SUM(K69:O69)</f>
        <v/>
      </c>
      <c r="Q69" s="2" t="inlineStr"/>
      <c r="R69" s="2" t="inlineStr"/>
      <c r="S69" s="2" t="inlineStr"/>
      <c r="T69" s="2" t="inlineStr"/>
      <c r="U69" s="2" t="inlineStr"/>
      <c r="V69" s="2" t="inlineStr"/>
      <c r="W69" s="2" t="inlineStr"/>
      <c r="X69" s="2" t="inlineStr"/>
      <c r="Y69" s="2">
        <f>SUM(T69:X69)</f>
        <v/>
      </c>
      <c r="Z69" s="2" t="inlineStr"/>
      <c r="AA69" s="2">
        <f>IF(P69&gt;Y69,"Bot 1",IF(Y69&gt;P69,"Bot 2","Hòa"))</f>
        <v/>
      </c>
      <c r="AB69" s="2">
        <f>ABS(P69-Y69)</f>
        <v/>
      </c>
      <c r="AC69" s="2" t="inlineStr"/>
    </row>
    <row r="70">
      <c r="A70" s="2" t="inlineStr">
        <is>
          <t>PCNTT069</t>
        </is>
      </c>
      <c r="B70" s="2" t="inlineStr">
        <is>
          <t>Bảng thống kê thủ tục hành chính một cửa hiển thị chi tiết những cột thông tin nào?</t>
        </is>
      </c>
      <c r="C70" s="2" t="inlineStr">
        <is>
          <t>2026.03.25.AI_HDSD TREN WEB SUPPORT CBGV.docx</t>
        </is>
      </c>
      <c r="D70" s="2" t="inlineStr">
        <is>
          <t>III -&gt; 1 -&gt; 1.3 -&gt; c</t>
        </is>
      </c>
      <c r="E70" s="2" t="inlineStr">
        <is>
          <t>Hiển thị chi tiết theo từng loại thủ tục, gồm: Tên thủ tục, Tổng số lượng đề nghị, Số lượng đã đánh giá và Số lượng chưa đánh giá.</t>
        </is>
      </c>
      <c r="F70" s="2" t="inlineStr">
        <is>
          <t>Hiển thị chi tiết theo từng loại thủ tục, gồm: Tên thủ tục, Tổng số lượng đề nghị, Số lượng đã đánh giá và Số lượng chưa đánh giá.; Từ khóa trọng tâm: số lượng đề nghị; số lượng đã đánh giá; cột thông tin thống kê</t>
        </is>
      </c>
      <c r="G70" s="2" t="inlineStr">
        <is>
          <t>số lượng đề nghị, số lượng đã đánh giá, cột thông tin thống kê</t>
        </is>
      </c>
      <c r="H70" s="2" t="inlineStr">
        <is>
          <t>trả lời không có căn cứ khi đáp án chuẩn có thông tin; nguồn không liên quan; sinh viên nếu câu hỏi chỉ dành cho CBGV; nguồn SV sai đối tượng; trả lời quy chế chung nhưng không nêu thao tác hệ thống</t>
        </is>
      </c>
      <c r="I70" s="2" t="inlineStr"/>
      <c r="J70" s="2" t="inlineStr"/>
      <c r="K70" s="2" t="inlineStr"/>
      <c r="L70" s="2" t="inlineStr"/>
      <c r="M70" s="2" t="inlineStr"/>
      <c r="N70" s="2" t="inlineStr"/>
      <c r="O70" s="2" t="inlineStr"/>
      <c r="P70" s="2">
        <f>SUM(K70:O70)</f>
        <v/>
      </c>
      <c r="Q70" s="2" t="inlineStr"/>
      <c r="R70" s="2" t="inlineStr"/>
      <c r="S70" s="2" t="inlineStr"/>
      <c r="T70" s="2" t="inlineStr"/>
      <c r="U70" s="2" t="inlineStr"/>
      <c r="V70" s="2" t="inlineStr"/>
      <c r="W70" s="2" t="inlineStr"/>
      <c r="X70" s="2" t="inlineStr"/>
      <c r="Y70" s="2">
        <f>SUM(T70:X70)</f>
        <v/>
      </c>
      <c r="Z70" s="2" t="inlineStr"/>
      <c r="AA70" s="2">
        <f>IF(P70&gt;Y70,"Bot 1",IF(Y70&gt;P70,"Bot 2","Hòa"))</f>
        <v/>
      </c>
      <c r="AB70" s="2">
        <f>ABS(P70-Y70)</f>
        <v/>
      </c>
      <c r="AC70" s="2" t="inlineStr"/>
    </row>
    <row r="71">
      <c r="A71" s="2" t="inlineStr">
        <is>
          <t>PCNTT070</t>
        </is>
      </c>
      <c r="B71" s="2" t="inlineStr">
        <is>
          <t>Trên bảng thống kê, số lượng hồ sơ "đã đánh giá" và "chưa đánh giá" được phân biệt màu sắc như thế nào?</t>
        </is>
      </c>
      <c r="C71" s="2" t="inlineStr">
        <is>
          <t>2026.03.25.AI_HDSD TREN WEB SUPPORT CBGV.docx</t>
        </is>
      </c>
      <c r="D71" s="2" t="inlineStr">
        <is>
          <t>III -&gt; 1 -&gt; 1.3 -&gt; c</t>
        </is>
      </c>
      <c r="E71" s="2" t="inlineStr">
        <is>
          <t>Để dễ nhận diện trực quan: Số lượng hồ sơ đã đánh giá sẽ hiển thị màu xanh, còn số lượng hồ sơ chưa đánh giá sẽ hiển thị màu đỏ.</t>
        </is>
      </c>
      <c r="F71" s="2" t="inlineStr">
        <is>
          <t>Để dễ nhận diện trực quan: Số lượng hồ sơ đã đánh giá sẽ hiển thị màu xanh, còn số lượng hồ sơ chưa đánh giá sẽ hiển thị màu đỏ.; Từ khóa trọng tâm: phân biệt màu sắc; hiển thị màu xanh; hiển thị màu đỏ</t>
        </is>
      </c>
      <c r="G71" s="2" t="inlineStr">
        <is>
          <t>phân biệt màu sắc, hiển thị màu xanh, hiển thị màu đỏ</t>
        </is>
      </c>
      <c r="H71" s="2" t="inlineStr">
        <is>
          <t>trả lời không có căn cứ khi đáp án chuẩn có thông tin; nguồn không liên quan; sinh viên nếu câu hỏi chỉ dành cho CBGV; nguồn SV sai đối tượng; trả lời quy chế chung nhưng không nêu thao tác hệ thống</t>
        </is>
      </c>
      <c r="I71" s="2" t="inlineStr"/>
      <c r="J71" s="2" t="inlineStr"/>
      <c r="K71" s="2" t="inlineStr"/>
      <c r="L71" s="2" t="inlineStr"/>
      <c r="M71" s="2" t="inlineStr"/>
      <c r="N71" s="2" t="inlineStr"/>
      <c r="O71" s="2" t="inlineStr"/>
      <c r="P71" s="2">
        <f>SUM(K71:O71)</f>
        <v/>
      </c>
      <c r="Q71" s="2" t="inlineStr"/>
      <c r="R71" s="2" t="inlineStr"/>
      <c r="S71" s="2" t="inlineStr"/>
      <c r="T71" s="2" t="inlineStr"/>
      <c r="U71" s="2" t="inlineStr"/>
      <c r="V71" s="2" t="inlineStr"/>
      <c r="W71" s="2" t="inlineStr"/>
      <c r="X71" s="2" t="inlineStr"/>
      <c r="Y71" s="2">
        <f>SUM(T71:X71)</f>
        <v/>
      </c>
      <c r="Z71" s="2" t="inlineStr"/>
      <c r="AA71" s="2">
        <f>IF(P71&gt;Y71,"Bot 1",IF(Y71&gt;P71,"Bot 2","Hòa"))</f>
        <v/>
      </c>
      <c r="AB71" s="2">
        <f>ABS(P71-Y71)</f>
        <v/>
      </c>
      <c r="AC71" s="2" t="inlineStr"/>
    </row>
    <row r="72">
      <c r="A72" s="2" t="inlineStr">
        <is>
          <t>PCNTT071</t>
        </is>
      </c>
      <c r="B72" s="2" t="inlineStr">
        <is>
          <t>Làm thế nào để tìm nhanh một thủ tục cụ thể trong bảng thống kê có quá nhiều dòng?</t>
        </is>
      </c>
      <c r="C72" s="2" t="inlineStr">
        <is>
          <t>2026.03.25.AI_HDSD TREN WEB SUPPORT CBGV.docx</t>
        </is>
      </c>
      <c r="D72" s="2" t="inlineStr">
        <is>
          <t>III -&gt; 1 -&gt; 1.3 -&gt; c</t>
        </is>
      </c>
      <c r="E72" s="2" t="inlineStr">
        <is>
          <t>Bạn có thể sử dụng ô "Tìm nhóm" hoặc ô "Tìm tên yêu cầu" nằm ngay phía trên bảng để gõ từ khóa lọc nhanh thủ tục cần theo dõi.</t>
        </is>
      </c>
      <c r="F72" s="2" t="inlineStr">
        <is>
          <t>Bạn có thể sử dụng ô "Tìm nhóm" hoặc ô "Tìm tên yêu cầu" nằm ngay phía trên bảng để gõ từ khóa lọc nhanh thủ tục cần theo dõi.; Từ khóa trọng tâm: tìm nhóm; tìm tên yêu cầu; gõ từ khóa lọc nhanh</t>
        </is>
      </c>
      <c r="G72" s="2" t="inlineStr">
        <is>
          <t>tìm nhóm, tìm tên yêu cầu, gõ từ khóa lọc nhanh</t>
        </is>
      </c>
      <c r="H72" s="2" t="inlineStr">
        <is>
          <t>trả lời không có căn cứ khi đáp án chuẩn có thông tin; nguồn không liên quan; sinh viên nếu câu hỏi chỉ dành cho CBGV; nguồn SV sai đối tượng; trả lời quy chế chung nhưng không nêu thao tác hệ thống</t>
        </is>
      </c>
      <c r="I72" s="2" t="inlineStr"/>
      <c r="J72" s="2" t="inlineStr"/>
      <c r="K72" s="2" t="inlineStr"/>
      <c r="L72" s="2" t="inlineStr"/>
      <c r="M72" s="2" t="inlineStr"/>
      <c r="N72" s="2" t="inlineStr"/>
      <c r="O72" s="2" t="inlineStr"/>
      <c r="P72" s="2">
        <f>SUM(K72:O72)</f>
        <v/>
      </c>
      <c r="Q72" s="2" t="inlineStr"/>
      <c r="R72" s="2" t="inlineStr"/>
      <c r="S72" s="2" t="inlineStr"/>
      <c r="T72" s="2" t="inlineStr"/>
      <c r="U72" s="2" t="inlineStr"/>
      <c r="V72" s="2" t="inlineStr"/>
      <c r="W72" s="2" t="inlineStr"/>
      <c r="X72" s="2" t="inlineStr"/>
      <c r="Y72" s="2">
        <f>SUM(T72:X72)</f>
        <v/>
      </c>
      <c r="Z72" s="2" t="inlineStr"/>
      <c r="AA72" s="2">
        <f>IF(P72&gt;Y72,"Bot 1",IF(Y72&gt;P72,"Bot 2","Hòa"))</f>
        <v/>
      </c>
      <c r="AB72" s="2">
        <f>ABS(P72-Y72)</f>
        <v/>
      </c>
      <c r="AC72" s="2" t="inlineStr"/>
    </row>
    <row r="73">
      <c r="A73" s="2" t="inlineStr">
        <is>
          <t>PCNTT072</t>
        </is>
      </c>
      <c r="B73" s="2" t="inlineStr">
        <is>
          <t>Làm thế nào để xem danh sách chi tiết các hồ sơ thuộc một thủ tục hành chính cụ thể?</t>
        </is>
      </c>
      <c r="C73" s="2" t="inlineStr">
        <is>
          <t>2026.03.25.AI_HDSD TREN WEB SUPPORT CBGV.docx</t>
        </is>
      </c>
      <c r="D73" s="2" t="inlineStr">
        <is>
          <t>III -&gt; 1 -&gt; 1.3 -&gt; d</t>
        </is>
      </c>
      <c r="E73" s="2" t="inlineStr">
        <is>
          <t>Tại dòng chứa thủ tục cần xem trên bảng thống kê, bạn nhấn vào nút "Xem chi tiết" tại cột thao tác. Hệ thống sẽ mở ra danh sách hồ sơ chi tiết của riêng thủ tục đó.</t>
        </is>
      </c>
      <c r="F73" s="2" t="inlineStr">
        <is>
          <t>Tại dòng chứa thủ tục cần xem trên bảng thống kê, bạn nhấn vào nút "Xem chi tiết" tại cột thao tác. Hệ thống sẽ mở ra danh sách hồ sơ chi tiết của riêng thủ tục đó.; Từ khóa trọng tâm: nút xem chi tiết; mở danh sách hồ sơ; cột thao tác</t>
        </is>
      </c>
      <c r="G73" s="2" t="inlineStr">
        <is>
          <t>nút xem chi tiết, mở danh sách hồ sơ, cột thao tác</t>
        </is>
      </c>
      <c r="H73" s="2" t="inlineStr">
        <is>
          <t>trả lời không có căn cứ khi đáp án chuẩn có thông tin; nguồn không liên quan; sinh viên nếu câu hỏi chỉ dành cho CBGV; nguồn SV sai đối tượng; trả lời quy chế chung nhưng không nêu thao tác hệ thống</t>
        </is>
      </c>
      <c r="I73" s="2" t="inlineStr"/>
      <c r="J73" s="2" t="inlineStr"/>
      <c r="K73" s="2" t="inlineStr"/>
      <c r="L73" s="2" t="inlineStr"/>
      <c r="M73" s="2" t="inlineStr"/>
      <c r="N73" s="2" t="inlineStr"/>
      <c r="O73" s="2" t="inlineStr"/>
      <c r="P73" s="2">
        <f>SUM(K73:O73)</f>
        <v/>
      </c>
      <c r="Q73" s="2" t="inlineStr"/>
      <c r="R73" s="2" t="inlineStr"/>
      <c r="S73" s="2" t="inlineStr"/>
      <c r="T73" s="2" t="inlineStr"/>
      <c r="U73" s="2" t="inlineStr"/>
      <c r="V73" s="2" t="inlineStr"/>
      <c r="W73" s="2" t="inlineStr"/>
      <c r="X73" s="2" t="inlineStr"/>
      <c r="Y73" s="2">
        <f>SUM(T73:X73)</f>
        <v/>
      </c>
      <c r="Z73" s="2" t="inlineStr"/>
      <c r="AA73" s="2">
        <f>IF(P73&gt;Y73,"Bot 1",IF(Y73&gt;P73,"Bot 2","Hòa"))</f>
        <v/>
      </c>
      <c r="AB73" s="2">
        <f>ABS(P73-Y73)</f>
        <v/>
      </c>
      <c r="AC73" s="2" t="inlineStr"/>
    </row>
    <row r="74">
      <c r="A74" s="2" t="inlineStr">
        <is>
          <t>PCNTT073</t>
        </is>
      </c>
      <c r="B74" s="2" t="inlineStr">
        <is>
          <t>Tôi muốn tải toàn bộ dữ liệu thống kê một cửa dưới dạng file Excel thì làm thế nào?</t>
        </is>
      </c>
      <c r="C74" s="2" t="inlineStr">
        <is>
          <t>2026.03.25.AI_HDSD TREN WEB SUPPORT CBGV.docx</t>
        </is>
      </c>
      <c r="D74" s="2" t="inlineStr">
        <is>
          <t>III -&gt; 1 -&gt; 1.3 -&gt; e</t>
        </is>
      </c>
      <c r="E74" s="2" t="inlineStr">
        <is>
          <t>Bạn chỉ cần nhấn vào nút "Xuất Excel" trên giao diện màn hình. Hệ thống sẽ tự động xuất và tải xuống máy tính file báo cáo định dạng Excel chứa toàn bộ số liệu thống kê.</t>
        </is>
      </c>
      <c r="F74" s="2" t="inlineStr">
        <is>
          <t>Bạn chỉ cần nhấn vào nút "Xuất Excel" trên giao diện màn hình. Hệ thống sẽ tự động xuất và tải xuống máy tính file báo cáo định dạng Excel chứa toàn bộ số liệu thống kê.; Từ khóa trọng tâm: xuất excel; tải file excel báo cáo; download file thống kê</t>
        </is>
      </c>
      <c r="G74" s="2" t="inlineStr">
        <is>
          <t>xuất excel, tải file excel báo cáo, download file thống kê</t>
        </is>
      </c>
      <c r="H74" s="2" t="inlineStr">
        <is>
          <t>trả lời không có căn cứ khi đáp án chuẩn có thông tin; nguồn không liên quan; sinh viên nếu câu hỏi chỉ dành cho CBGV; nguồn SV sai đối tượng; trả lời quy chế chung nhưng không nêu thao tác hệ thống</t>
        </is>
      </c>
      <c r="I74" s="2" t="inlineStr"/>
      <c r="J74" s="2" t="inlineStr"/>
      <c r="K74" s="2" t="inlineStr"/>
      <c r="L74" s="2" t="inlineStr"/>
      <c r="M74" s="2" t="inlineStr"/>
      <c r="N74" s="2" t="inlineStr"/>
      <c r="O74" s="2" t="inlineStr"/>
      <c r="P74" s="2">
        <f>SUM(K74:O74)</f>
        <v/>
      </c>
      <c r="Q74" s="2" t="inlineStr"/>
      <c r="R74" s="2" t="inlineStr"/>
      <c r="S74" s="2" t="inlineStr"/>
      <c r="T74" s="2" t="inlineStr"/>
      <c r="U74" s="2" t="inlineStr"/>
      <c r="V74" s="2" t="inlineStr"/>
      <c r="W74" s="2" t="inlineStr"/>
      <c r="X74" s="2" t="inlineStr"/>
      <c r="Y74" s="2">
        <f>SUM(T74:X74)</f>
        <v/>
      </c>
      <c r="Z74" s="2" t="inlineStr"/>
      <c r="AA74" s="2">
        <f>IF(P74&gt;Y74,"Bot 1",IF(Y74&gt;P74,"Bot 2","Hòa"))</f>
        <v/>
      </c>
      <c r="AB74" s="2">
        <f>ABS(P74-Y74)</f>
        <v/>
      </c>
      <c r="AC74" s="2" t="inlineStr"/>
    </row>
    <row r="75">
      <c r="A75" s="2" t="inlineStr">
        <is>
          <t>PCNTT074</t>
        </is>
      </c>
      <c r="B75" s="2" t="inlineStr">
        <is>
          <t>Giảng viên đăng nhập vào hệ thống UNETI Online bằng tài khoản nào?</t>
        </is>
      </c>
      <c r="C75" s="2" t="inlineStr">
        <is>
          <t>2026.03.25.AI_HDSD TREN WEB SUPPORT CBGV.docx</t>
        </is>
      </c>
      <c r="D75" s="2" t="inlineStr">
        <is>
          <t>I -&gt; 1 -&gt; 1.2</t>
        </is>
      </c>
      <c r="E75" s="2" t="inlineStr">
        <is>
          <t>Giảng viên sử dụng tài khoản cán bộ cá nhân do Nhà trường cấp để đăng nhập và sử dụng hệ thống tại đường dẫn: https://support.uneti.edu.vn.</t>
        </is>
      </c>
      <c r="F75" s="2" t="inlineStr">
        <is>
          <t>Giảng viên sử dụng tài khoản cán bộ cá nhân do Nhà trường cấp để đăng nhập và sử dụng hệ thống tại đường dẫn: https://support.uneti.edu.vn.; Từ khóa trọng tâm: tài khoản giảng viên; đăng nhập cbgv; link hệ thống</t>
        </is>
      </c>
      <c r="G75" s="2" t="inlineStr">
        <is>
          <t>tài khoản giảng viên, đăng nhập cbgv, link hệ thống</t>
        </is>
      </c>
      <c r="H75" s="2" t="inlineStr">
        <is>
          <t>trả lời không có căn cứ khi đáp án chuẩn có thông tin; nguồn không liên quan; sinh viên nếu câu hỏi chỉ dành cho CBGV; nguồn SV sai đối tượng</t>
        </is>
      </c>
      <c r="I75" s="2" t="inlineStr"/>
      <c r="J75" s="2" t="inlineStr"/>
      <c r="K75" s="2" t="inlineStr"/>
      <c r="L75" s="2" t="inlineStr"/>
      <c r="M75" s="2" t="inlineStr"/>
      <c r="N75" s="2" t="inlineStr"/>
      <c r="O75" s="2" t="inlineStr"/>
      <c r="P75" s="2">
        <f>SUM(K75:O75)</f>
        <v/>
      </c>
      <c r="Q75" s="2" t="inlineStr"/>
      <c r="R75" s="2" t="inlineStr"/>
      <c r="S75" s="2" t="inlineStr"/>
      <c r="T75" s="2" t="inlineStr"/>
      <c r="U75" s="2" t="inlineStr"/>
      <c r="V75" s="2" t="inlineStr"/>
      <c r="W75" s="2" t="inlineStr"/>
      <c r="X75" s="2" t="inlineStr"/>
      <c r="Y75" s="2">
        <f>SUM(T75:X75)</f>
        <v/>
      </c>
      <c r="Z75" s="2" t="inlineStr"/>
      <c r="AA75" s="2">
        <f>IF(P75&gt;Y75,"Bot 1",IF(Y75&gt;P75,"Bot 2","Hòa"))</f>
        <v/>
      </c>
      <c r="AB75" s="2">
        <f>ABS(P75-Y75)</f>
        <v/>
      </c>
      <c r="AC75" s="2" t="inlineStr"/>
    </row>
    <row r="76">
      <c r="A76" s="2" t="inlineStr">
        <is>
          <t>PCNTT075</t>
        </is>
      </c>
      <c r="B76" s="2" t="inlineStr">
        <is>
          <t>Sinh viên có thể nhìn thấy module "Công tác giảng viên" trên tài khoản của mình không?</t>
        </is>
      </c>
      <c r="C76" s="2" t="inlineStr">
        <is>
          <t>2026.03.25.AI_HDSD TREN WEB SUPPORT CBGV.docx</t>
        </is>
      </c>
      <c r="D76" s="2" t="inlineStr">
        <is>
          <t>I -&gt; 1 -&gt; 1.1</t>
        </is>
      </c>
      <c r="E76" s="2" t="inlineStr">
        <is>
          <t>Không. Module "Công tác giảng viên" được phân quyền bảo mật, chỉ hiển thị duy nhất trên giao diện tài khoản của Cán bộ, Giảng viên; hoàn toàn ẩn đối với tài khoản sinh viên.</t>
        </is>
      </c>
      <c r="F76" s="2" t="inlineStr">
        <is>
          <t>Không. Module "Công tác giảng viên" được phân quyền bảo mật, chỉ hiển thị duy nhất trên giao diện tài khoản của Cán bộ, Giảng viên; hoàn toàn ẩn đối với tài khoản sinh viên.; Từ khóa trọng tâm: sinh viên xem công tác giảng viên; ẩn tính năng; phân quyền bảo mật</t>
        </is>
      </c>
      <c r="G76" s="2" t="inlineStr">
        <is>
          <t>sinh viên xem công tác giảng viên, ẩn tính năng, phân quyền bảo mật</t>
        </is>
      </c>
      <c r="H76" s="2" t="inlineStr">
        <is>
          <t>trả lời không có căn cứ khi đáp án chuẩn có thông tin; nguồn không liên quan; sinh viên nếu câu hỏi chỉ dành cho CBGV; nguồn SV sai đối tượng</t>
        </is>
      </c>
      <c r="I76" s="2" t="inlineStr"/>
      <c r="J76" s="2" t="inlineStr"/>
      <c r="K76" s="2" t="inlineStr"/>
      <c r="L76" s="2" t="inlineStr"/>
      <c r="M76" s="2" t="inlineStr"/>
      <c r="N76" s="2" t="inlineStr"/>
      <c r="O76" s="2" t="inlineStr"/>
      <c r="P76" s="2">
        <f>SUM(K76:O76)</f>
        <v/>
      </c>
      <c r="Q76" s="2" t="inlineStr"/>
      <c r="R76" s="2" t="inlineStr"/>
      <c r="S76" s="2" t="inlineStr"/>
      <c r="T76" s="2" t="inlineStr"/>
      <c r="U76" s="2" t="inlineStr"/>
      <c r="V76" s="2" t="inlineStr"/>
      <c r="W76" s="2" t="inlineStr"/>
      <c r="X76" s="2" t="inlineStr"/>
      <c r="Y76" s="2">
        <f>SUM(T76:X76)</f>
        <v/>
      </c>
      <c r="Z76" s="2" t="inlineStr"/>
      <c r="AA76" s="2">
        <f>IF(P76&gt;Y76,"Bot 1",IF(Y76&gt;P76,"Bot 2","Hòa"))</f>
        <v/>
      </c>
      <c r="AB76" s="2">
        <f>ABS(P76-Y76)</f>
        <v/>
      </c>
      <c r="AC76" s="2" t="inlineStr"/>
    </row>
    <row r="77">
      <c r="A77" s="2" t="inlineStr">
        <is>
          <t>PCNTT076</t>
        </is>
      </c>
      <c r="B77" s="2" t="inlineStr">
        <is>
          <t>Tại màn hình Khối lượng công tác, làm sao để chuyển đổi xem số liệu giữa các năm học khác nhau?</t>
        </is>
      </c>
      <c r="C77" s="2" t="inlineStr">
        <is>
          <t>2026.03.25.AI_HDSD TREN WEB SUPPORT CBGV.docx</t>
        </is>
      </c>
      <c r="D77" s="2" t="inlineStr">
        <is>
          <t>I -&gt; 1 -&gt; 1.3</t>
        </is>
      </c>
      <c r="E77" s="2" t="inlineStr">
        <is>
          <t>Ngay phía trên góc màn hình có bộ chọn "Năm học" và "Học kỳ". Bạn nhấn chọn năm học/học kỳ cần tra cứu, hệ thống sẽ tự động tải lại dữ liệu tương ứng.</t>
        </is>
      </c>
      <c r="F77" s="2" t="inlineStr">
        <is>
          <t>Ngay phía trên góc màn hình có bộ chọn "Năm học" và "Học kỳ". Bạn nhấn chọn năm học/học kỳ cần tra cứu, hệ thống sẽ tự động tải lại dữ liệu tương ứng.; Từ khóa trọng tâm: chọn năm học; chọn học kỳ; đổi năm học tra cứu</t>
        </is>
      </c>
      <c r="G77" s="2" t="inlineStr">
        <is>
          <t>chọn năm học, chọn học kỳ, đổi năm học tra cứu</t>
        </is>
      </c>
      <c r="H77" s="2" t="inlineStr">
        <is>
          <t>trả lời không có căn cứ khi đáp án chuẩn có thông tin; nguồn không liên quan; sinh viên nếu câu hỏi chỉ dành cho CBGV; nguồn SV sai đối tượng; trả lời quy chế chung nhưng không nêu thao tác hệ thống</t>
        </is>
      </c>
      <c r="I77" s="2" t="inlineStr"/>
      <c r="J77" s="2" t="inlineStr"/>
      <c r="K77" s="2" t="inlineStr"/>
      <c r="L77" s="2" t="inlineStr"/>
      <c r="M77" s="2" t="inlineStr"/>
      <c r="N77" s="2" t="inlineStr"/>
      <c r="O77" s="2" t="inlineStr"/>
      <c r="P77" s="2">
        <f>SUM(K77:O77)</f>
        <v/>
      </c>
      <c r="Q77" s="2" t="inlineStr"/>
      <c r="R77" s="2" t="inlineStr"/>
      <c r="S77" s="2" t="inlineStr"/>
      <c r="T77" s="2" t="inlineStr"/>
      <c r="U77" s="2" t="inlineStr"/>
      <c r="V77" s="2" t="inlineStr"/>
      <c r="W77" s="2" t="inlineStr"/>
      <c r="X77" s="2" t="inlineStr"/>
      <c r="Y77" s="2">
        <f>SUM(T77:X77)</f>
        <v/>
      </c>
      <c r="Z77" s="2" t="inlineStr"/>
      <c r="AA77" s="2">
        <f>IF(P77&gt;Y77,"Bot 1",IF(Y77&gt;P77,"Bot 2","Hòa"))</f>
        <v/>
      </c>
      <c r="AB77" s="2">
        <f>ABS(P77-Y77)</f>
        <v/>
      </c>
      <c r="AC77" s="2" t="inlineStr"/>
    </row>
    <row r="78">
      <c r="A78" s="2" t="inlineStr">
        <is>
          <t>PCNTT077</t>
        </is>
      </c>
      <c r="B78" s="2" t="inlineStr">
        <is>
          <t>Làm thế nào để nhận biết dữ liệu giảng dạy của một lớp học phần đã được đồng bộ lên hệ thống?</t>
        </is>
      </c>
      <c r="C78" s="2" t="inlineStr">
        <is>
          <t>2026.03.25.AI_HDSD TREN WEB SUPPORT CBGV.docx</t>
        </is>
      </c>
      <c r="D78" s="2" t="inlineStr">
        <is>
          <t>I -&gt; 1 -&gt; 1.3 -&gt; b</t>
        </is>
      </c>
      <c r="E78" s="2" t="inlineStr">
        <is>
          <t>Tại màn hình Lớp học phần, giảng viên kiểm tra cột "Trạng thái đồng bộ dữ liệu". Nếu ghi nhận thành công, nghĩa là số liệu thời khóa biểu và sĩ số đã được khớp nối.</t>
        </is>
      </c>
      <c r="F78" s="2" t="inlineStr">
        <is>
          <t>Tại màn hình Lớp học phần, giảng viên kiểm tra cột "Trạng thái đồng bộ dữ liệu". Nếu ghi nhận thành công, nghĩa là số liệu thời khóa biểu và sĩ số đã được khớp nối.; Từ khóa trọng tâm: trạng thái đồng bộ; đồng bộ dữ liệu lớp học</t>
        </is>
      </c>
      <c r="G78" s="2" t="inlineStr">
        <is>
          <t>trạng thái đồng bộ, đồng bộ dữ liệu lớp học</t>
        </is>
      </c>
      <c r="H78" s="2" t="inlineStr">
        <is>
          <t>trả lời không có căn cứ khi đáp án chuẩn có thông tin; nguồn không liên quan; sinh viên nếu câu hỏi chỉ dành cho CBGV; nguồn SV sai đối tượng; trả lời quy chế chung nhưng không nêu thao tác hệ thống</t>
        </is>
      </c>
      <c r="I78" s="2" t="inlineStr"/>
      <c r="J78" s="2" t="inlineStr"/>
      <c r="K78" s="2" t="inlineStr"/>
      <c r="L78" s="2" t="inlineStr"/>
      <c r="M78" s="2" t="inlineStr"/>
      <c r="N78" s="2" t="inlineStr"/>
      <c r="O78" s="2" t="inlineStr"/>
      <c r="P78" s="2">
        <f>SUM(K78:O78)</f>
        <v/>
      </c>
      <c r="Q78" s="2" t="inlineStr"/>
      <c r="R78" s="2" t="inlineStr"/>
      <c r="S78" s="2" t="inlineStr"/>
      <c r="T78" s="2" t="inlineStr"/>
      <c r="U78" s="2" t="inlineStr"/>
      <c r="V78" s="2" t="inlineStr"/>
      <c r="W78" s="2" t="inlineStr"/>
      <c r="X78" s="2" t="inlineStr"/>
      <c r="Y78" s="2">
        <f>SUM(T78:X78)</f>
        <v/>
      </c>
      <c r="Z78" s="2" t="inlineStr"/>
      <c r="AA78" s="2">
        <f>IF(P78&gt;Y78,"Bot 1",IF(Y78&gt;P78,"Bot 2","Hòa"))</f>
        <v/>
      </c>
      <c r="AB78" s="2">
        <f>ABS(P78-Y78)</f>
        <v/>
      </c>
      <c r="AC78" s="2" t="inlineStr"/>
    </row>
    <row r="79">
      <c r="A79" s="2" t="inlineStr">
        <is>
          <t>PCNTT078</t>
        </is>
      </c>
      <c r="B79" s="2" t="inlineStr">
        <is>
          <t>Tôi có thể báo hỏng nhiều thiết bị trong cùng một phòng học trên một phiếu không?</t>
        </is>
      </c>
      <c r="C79" s="2" t="inlineStr">
        <is>
          <t>2026.03.25.AI_HDSD TREN WEB SUPPORT CBGV.docx</t>
        </is>
      </c>
      <c r="D79" s="2" t="inlineStr">
        <is>
          <t>II -&gt; 1 -&gt; 1.3 -&gt; Bước 4</t>
        </is>
      </c>
      <c r="E79" s="2" t="inlineStr">
        <is>
          <t>Có, tại bước chọn thiết bị cụ thể ở Bước 4, bạn có thể tích chọn nhiều thiết bị xảy ra hiện tượng hỏng hóc trong phòng đó trước khi nhấn nút "Gửi yêu cầu".</t>
        </is>
      </c>
      <c r="F79" s="2" t="inlineStr">
        <is>
          <t>Có, tại bước chọn thiết bị cụ thể ở Bước 4, bạn có thể tích chọn nhiều thiết bị xảy ra hiện tượng hỏng hóc trong phòng đó trước khi nhấn nút "Gửi yêu cầu".; Từ khóa trọng tâm: báo hỏng nhiều thiết bị; tích chọn nhiều thiết bị lỗi</t>
        </is>
      </c>
      <c r="G79" s="2" t="inlineStr">
        <is>
          <t>báo hỏng nhiều thiết bị, tích chọn nhiều thiết bị lỗi</t>
        </is>
      </c>
      <c r="H79" s="2" t="inlineStr">
        <is>
          <t>trả lời không có căn cứ khi đáp án chuẩn có thông tin; nguồn không liên quan; sinh viên nếu câu hỏi chỉ dành cho CBGV; nguồn SV sai đối tượng</t>
        </is>
      </c>
      <c r="I79" s="2" t="inlineStr"/>
      <c r="J79" s="2" t="inlineStr"/>
      <c r="K79" s="2" t="inlineStr"/>
      <c r="L79" s="2" t="inlineStr"/>
      <c r="M79" s="2" t="inlineStr"/>
      <c r="N79" s="2" t="inlineStr"/>
      <c r="O79" s="2" t="inlineStr"/>
      <c r="P79" s="2">
        <f>SUM(K79:O79)</f>
        <v/>
      </c>
      <c r="Q79" s="2" t="inlineStr"/>
      <c r="R79" s="2" t="inlineStr"/>
      <c r="S79" s="2" t="inlineStr"/>
      <c r="T79" s="2" t="inlineStr"/>
      <c r="U79" s="2" t="inlineStr"/>
      <c r="V79" s="2" t="inlineStr"/>
      <c r="W79" s="2" t="inlineStr"/>
      <c r="X79" s="2" t="inlineStr"/>
      <c r="Y79" s="2">
        <f>SUM(T79:X79)</f>
        <v/>
      </c>
      <c r="Z79" s="2" t="inlineStr"/>
      <c r="AA79" s="2">
        <f>IF(P79&gt;Y79,"Bot 1",IF(Y79&gt;P79,"Bot 2","Hòa"))</f>
        <v/>
      </c>
      <c r="AB79" s="2">
        <f>ABS(P79-Y79)</f>
        <v/>
      </c>
      <c r="AC79" s="2" t="inlineStr"/>
    </row>
    <row r="80">
      <c r="A80" s="2" t="inlineStr">
        <is>
          <t>PCNTT079</t>
        </is>
      </c>
      <c r="B80" s="2" t="inlineStr">
        <is>
          <t>Sau khi xuất file báo cáo một cửa ra Excel, file này hiển thị những gì?</t>
        </is>
      </c>
      <c r="C80" s="2" t="inlineStr">
        <is>
          <t>2026.03.25.AI_HDSD TREN WEB SUPPORT CBGV.docx</t>
        </is>
      </c>
      <c r="D80" s="2" t="inlineStr">
        <is>
          <t>III -&gt; 1 -&gt; 1.3 -&gt; e</t>
        </is>
      </c>
      <c r="E80" s="2" t="inlineStr">
        <is>
          <t>File Excel tải xuống sẽ chứa toàn bộ dữ liệu bảng thống kê bao gồm tên các thủ tục, tổng số lượt đề nghị, số lượng đã/chưa đánh giá đúng theo các tiêu chí bộ lọc.</t>
        </is>
      </c>
      <c r="F80" s="2" t="inlineStr">
        <is>
          <t>File Excel tải xuống sẽ chứa toàn bộ dữ liệu bảng thống kê bao gồm tên các thủ tục, tổng số lượt đề nghị, số lượng đã/chưa đánh giá đúng theo các tiêu chí bộ lọc.; Từ khóa trọng tâm: định dạng file tải xuống; dữ liệu file excel một cửa</t>
        </is>
      </c>
      <c r="G80" s="2" t="inlineStr">
        <is>
          <t>định dạng file tải xuống, dữ liệu file excel một cửa</t>
        </is>
      </c>
      <c r="H80" s="2" t="inlineStr">
        <is>
          <t>trả lời không có căn cứ khi đáp án chuẩn có thông tin; nguồn không liên quan; sinh viên nếu câu hỏi chỉ dành cho CBGV; nguồn SV sai đối tượng</t>
        </is>
      </c>
      <c r="I80" s="2" t="inlineStr"/>
      <c r="J80" s="2" t="inlineStr"/>
      <c r="K80" s="2" t="inlineStr"/>
      <c r="L80" s="2" t="inlineStr"/>
      <c r="M80" s="2" t="inlineStr"/>
      <c r="N80" s="2" t="inlineStr"/>
      <c r="O80" s="2" t="inlineStr"/>
      <c r="P80" s="2">
        <f>SUM(K80:O80)</f>
        <v/>
      </c>
      <c r="Q80" s="2" t="inlineStr"/>
      <c r="R80" s="2" t="inlineStr"/>
      <c r="S80" s="2" t="inlineStr"/>
      <c r="T80" s="2" t="inlineStr"/>
      <c r="U80" s="2" t="inlineStr"/>
      <c r="V80" s="2" t="inlineStr"/>
      <c r="W80" s="2" t="inlineStr"/>
      <c r="X80" s="2" t="inlineStr"/>
      <c r="Y80" s="2">
        <f>SUM(T80:X80)</f>
        <v/>
      </c>
      <c r="Z80" s="2" t="inlineStr"/>
      <c r="AA80" s="2">
        <f>IF(P80&gt;Y80,"Bot 1",IF(Y80&gt;P80,"Bot 2","Hòa"))</f>
        <v/>
      </c>
      <c r="AB80" s="2">
        <f>ABS(P80-Y80)</f>
        <v/>
      </c>
      <c r="AC80" s="2" t="inlineStr"/>
    </row>
    <row r="81">
      <c r="A81" s="2" t="inlineStr">
        <is>
          <t>PCNTT080</t>
        </is>
      </c>
      <c r="B81" s="2" t="inlineStr">
        <is>
          <t>Cán bộ quản lý có thể xem thống kê một cửa của một Khoa cụ thể trong trường không?</t>
        </is>
      </c>
      <c r="C81" s="2" t="inlineStr">
        <is>
          <t>2026.03.25.AI_HDSD TREN WEB SUPPORT CBGV.docx</t>
        </is>
      </c>
      <c r="D81" s="2" t="inlineStr">
        <is>
          <t>III -&gt; 1 -&gt; 1.3 -&gt; a</t>
        </is>
      </c>
      <c r="E81" s="2" t="inlineStr">
        <is>
          <t>Có, bằng cách sử dụng bộ lọc, chọn tên Khoa cần xem (Ví dụ: Khoa Công nghệ thông tin) rồi bấm "Tìm kiếm", toàn bộ bảng số liệu và biểu đồ hài lòng sẽ chỉ hiển thị riêng cho Khoa đó.</t>
        </is>
      </c>
      <c r="F81" s="2" t="inlineStr">
        <is>
          <t>Có, bằng cách sử dụng bộ lọc, chọn tên Khoa cần xem (Ví dụ: Khoa Công nghệ thông tin) rồi bấm "Tìm kiếm", toàn bộ bảng số liệu và biểu đồ hài lòng sẽ chỉ hiển thị riêng cho Khoa đó.; Từ khóa trọng tâm: thống kê theo khoa; xem số liệu khoa; lọc dữ liệu khoa</t>
        </is>
      </c>
      <c r="G81" s="2" t="inlineStr">
        <is>
          <t>thống kê theo khoa, xem số liệu khoa, lọc dữ liệu khoa</t>
        </is>
      </c>
      <c r="H81" s="2" t="inlineStr">
        <is>
          <t>trả lời không có căn cứ khi đáp án chuẩn có thông tin; nguồn không liên quan; sinh viên nếu câu hỏi chỉ dành cho CBGV; nguồn SV sai đối tượng; trả lời quy chế chung nhưng không nêu thao tác hệ thống</t>
        </is>
      </c>
      <c r="I81" s="2" t="inlineStr"/>
      <c r="J81" s="2" t="inlineStr"/>
      <c r="K81" s="2" t="inlineStr"/>
      <c r="L81" s="2" t="inlineStr"/>
      <c r="M81" s="2" t="inlineStr"/>
      <c r="N81" s="2" t="inlineStr"/>
      <c r="O81" s="2" t="inlineStr"/>
      <c r="P81" s="2">
        <f>SUM(K81:O81)</f>
        <v/>
      </c>
      <c r="Q81" s="2" t="inlineStr"/>
      <c r="R81" s="2" t="inlineStr"/>
      <c r="S81" s="2" t="inlineStr"/>
      <c r="T81" s="2" t="inlineStr"/>
      <c r="U81" s="2" t="inlineStr"/>
      <c r="V81" s="2" t="inlineStr"/>
      <c r="W81" s="2" t="inlineStr"/>
      <c r="X81" s="2" t="inlineStr"/>
      <c r="Y81" s="2">
        <f>SUM(T81:X81)</f>
        <v/>
      </c>
      <c r="Z81" s="2" t="inlineStr"/>
      <c r="AA81" s="2">
        <f>IF(P81&gt;Y81,"Bot 1",IF(Y81&gt;P81,"Bot 2","Hòa"))</f>
        <v/>
      </c>
      <c r="AB81" s="2">
        <f>ABS(P81-Y81)</f>
        <v/>
      </c>
      <c r="AC81" s="2" t="inlineStr"/>
    </row>
  </sheetData>
  <autoFilter ref="A1:AC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8" customWidth="1" min="3" max="3"/>
    <col width="45" customWidth="1" min="4" max="4"/>
    <col width="10" customWidth="1" min="5" max="5"/>
  </cols>
  <sheetData>
    <row r="1">
      <c r="A1" s="4" t="inlineStr">
        <is>
          <t>Chỉ số</t>
        </is>
      </c>
      <c r="B1" s="4" t="inlineStr">
        <is>
          <t>Bot 1</t>
        </is>
      </c>
      <c r="C1" s="4" t="inlineStr">
        <is>
          <t>Bot 2</t>
        </is>
      </c>
      <c r="D1" s="4" t="inlineStr">
        <is>
          <t>Ghi chú</t>
        </is>
      </c>
      <c r="E1" s="4" t="n"/>
    </row>
    <row r="2">
      <c r="A2" s="2" t="inlineStr">
        <is>
          <t>Tổng điểm /800</t>
        </is>
      </c>
      <c r="B2" s="2">
        <f>SUM(ChamDiem_2_Bot!P2:P81)</f>
        <v/>
      </c>
      <c r="C2" s="2">
        <f>SUM(ChamDiem_2_Bot!Y2:Y81)</f>
        <v/>
      </c>
      <c r="D2" s="2" t="inlineStr">
        <is>
          <t>Tổng điểm 80 câu</t>
        </is>
      </c>
      <c r="E2" s="2" t="n"/>
    </row>
    <row r="3">
      <c r="A3" s="2" t="inlineStr">
        <is>
          <t>Điểm trung bình /10</t>
        </is>
      </c>
      <c r="B3" s="2">
        <f>AVERAGE(ChamDiem_2_Bot!P2:P81)</f>
        <v/>
      </c>
      <c r="C3" s="2">
        <f>AVERAGE(ChamDiem_2_Bot!Y2:Y81)</f>
        <v/>
      </c>
      <c r="D3" s="2" t="inlineStr">
        <is>
          <t>Trung bình điểm</t>
        </is>
      </c>
      <c r="E3" s="2" t="n"/>
    </row>
    <row r="4">
      <c r="A4" s="2" t="inlineStr">
        <is>
          <t>Số câu &gt;= 8 điểm</t>
        </is>
      </c>
      <c r="B4" s="2">
        <f>COUNTIF(ChamDiem_2_Bot!P2:P81,"&gt;=8")</f>
        <v/>
      </c>
      <c r="C4" s="2">
        <f>COUNTIF(ChamDiem_2_Bot!Y2:Y81,"&gt;=8")</f>
        <v/>
      </c>
      <c r="D4" s="2" t="inlineStr">
        <is>
          <t>Câu trả lời tốt</t>
        </is>
      </c>
      <c r="E4" s="2" t="n"/>
    </row>
    <row r="5">
      <c r="A5" s="2" t="inlineStr">
        <is>
          <t>Số câu 5-7.9 điểm</t>
        </is>
      </c>
      <c r="B5" s="2">
        <f>COUNTIFS(ChamDiem_2_Bot!P2:P81,"&gt;=5",ChamDiem_2_Bot!P2:P81,"&lt;8")</f>
        <v/>
      </c>
      <c r="C5" s="2">
        <f>COUNTIFS(ChamDiem_2_Bot!Y2:Y81,"&gt;=5",ChamDiem_2_Bot!Y2:Y81,"&lt;8")</f>
        <v/>
      </c>
      <c r="D5" s="2" t="inlineStr">
        <is>
          <t>Câu trung bình</t>
        </is>
      </c>
      <c r="E5" s="2" t="n"/>
    </row>
    <row r="6">
      <c r="A6" s="2" t="inlineStr">
        <is>
          <t>Số câu &lt;= 4 điểm</t>
        </is>
      </c>
      <c r="B6" s="2">
        <f>COUNTIF(ChamDiem_2_Bot!P2:P81,"&lt;=4")</f>
        <v/>
      </c>
      <c r="C6" s="2">
        <f>COUNTIF(ChamDiem_2_Bot!Y2:Y81,"&lt;=4")</f>
        <v/>
      </c>
      <c r="D6" s="2" t="inlineStr">
        <is>
          <t>Lỗi nặng</t>
        </is>
      </c>
      <c r="E6" s="2" t="n"/>
    </row>
    <row r="7">
      <c r="A7" s="2" t="inlineStr">
        <is>
          <t>Số câu thắng</t>
        </is>
      </c>
      <c r="B7" s="2">
        <f>COUNTIF(ChamDiem_2_Bot!AA2:AA81,"Bot 1")</f>
        <v/>
      </c>
      <c r="C7" s="2">
        <f>COUNTIF(ChamDiem_2_Bot!AA2:AA81,"Bot 2")</f>
        <v/>
      </c>
      <c r="D7" s="2" t="inlineStr">
        <is>
          <t>So từng câu</t>
        </is>
      </c>
      <c r="E7" s="2" t="n"/>
    </row>
    <row r="8">
      <c r="A8" s="2" t="inlineStr">
        <is>
          <t>Số câu hòa</t>
        </is>
      </c>
      <c r="B8" s="2">
        <f>COUNTIF(ChamDiem_2_Bot!AA2:AA81,"Hòa")</f>
        <v/>
      </c>
      <c r="C8" s="2" t="n"/>
      <c r="D8" s="2" t="inlineStr">
        <is>
          <t>Hai bot cùng điểm</t>
        </is>
      </c>
      <c r="E8" s="2" t="n"/>
    </row>
    <row r="9">
      <c r="A9" s="2" t="inlineStr">
        <is>
          <t>Chênh lệch tổng</t>
        </is>
      </c>
      <c r="B9" s="2">
        <f>B2-C2</f>
        <v/>
      </c>
      <c r="C9" s="2">
        <f>C2-B2</f>
        <v/>
      </c>
      <c r="D9" s="2" t="inlineStr">
        <is>
          <t>Dương nghĩa là bot ở cột đó cao hơn</t>
        </is>
      </c>
      <c r="E9" s="2" t="n"/>
    </row>
    <row r="10">
      <c r="A10" s="2" t="inlineStr">
        <is>
          <t>Bot điểm cao hơn</t>
        </is>
      </c>
      <c r="B10" s="2">
        <f>IF(B2&gt;C2,"Bot 1",IF(C2&gt;B2,"Bot 2","Hòa"))</f>
        <v/>
      </c>
      <c r="C10" s="2" t="n"/>
      <c r="D10" s="2" t="inlineStr">
        <is>
          <t>Kết luận theo tổng điểm</t>
        </is>
      </c>
      <c r="E10" s="2" t="n"/>
    </row>
  </sheetData>
  <autoFilter ref="A1:E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5" customWidth="1" min="1" max="1"/>
    <col width="90" customWidth="1" min="2" max="2"/>
  </cols>
  <sheetData>
    <row r="1">
      <c r="A1" s="5" t="inlineStr">
        <is>
          <t>Hướng dẫn chấm điểm</t>
        </is>
      </c>
      <c r="B1" s="5" t="n"/>
    </row>
    <row r="2">
      <c r="A2" s="2" t="inlineStr">
        <is>
          <t>1. Dán câu trả lời và nguồn của Bot 1/Bot 2 vào sheet ChamDiem_2_Bot.</t>
        </is>
      </c>
      <c r="B2" s="2" t="n"/>
    </row>
    <row r="3">
      <c r="A3" s="2" t="inlineStr">
        <is>
          <t>2. Nhập điểm từng tiêu chí: đúng nguồn 0-3, đúng trọng tâm 0-3, đủ ý 0-2, dễ hiểu 0-1, không bịa 0-1.</t>
        </is>
      </c>
      <c r="B3" s="2" t="n"/>
    </row>
    <row r="4">
      <c r="A4" s="2" t="inlineStr">
        <is>
          <t>3. Cột tổng điểm tự cộng. Sheet TongHop tự tổng hợp điểm hai bot.</t>
        </is>
      </c>
      <c r="B4" s="2" t="n"/>
    </row>
    <row r="5">
      <c r="A5" s="2" t="n"/>
      <c r="B5" s="2" t="n"/>
    </row>
    <row r="6">
      <c r="A6" s="2" t="inlineStr">
        <is>
          <t>Rubric</t>
        </is>
      </c>
      <c r="B6" s="2" t="inlineStr">
        <is>
          <t>Điểm tối đa</t>
        </is>
      </c>
    </row>
    <row r="7">
      <c r="A7" s="2" t="inlineStr">
        <is>
          <t>Đúng nguồn tài liệu, đúng Điều/Mục</t>
        </is>
      </c>
      <c r="B7" s="2" t="n">
        <v>3</v>
      </c>
    </row>
    <row r="8">
      <c r="A8" s="2" t="inlineStr">
        <is>
          <t>Đúng trọng tâm câu hỏi</t>
        </is>
      </c>
      <c r="B8" s="2" t="n">
        <v>3</v>
      </c>
    </row>
    <row r="9">
      <c r="A9" s="2" t="inlineStr">
        <is>
          <t>Đủ ý bắt buộc</t>
        </is>
      </c>
      <c r="B9" s="2" t="n">
        <v>2</v>
      </c>
    </row>
    <row r="10">
      <c r="A10" s="2" t="inlineStr">
        <is>
          <t>Dễ hiểu, trình bày tốt</t>
        </is>
      </c>
      <c r="B10" s="2" t="n">
        <v>1</v>
      </c>
    </row>
    <row r="11">
      <c r="A11" s="2" t="inlineStr">
        <is>
          <t>Không bịa, không thêm thông tin sai</t>
        </is>
      </c>
      <c r="B11" s="2" t="n">
        <v>1</v>
      </c>
    </row>
    <row r="12">
      <c r="A12" s="2" t="n"/>
      <c r="B12" s="2" t="n"/>
    </row>
    <row r="13">
      <c r="A13" s="2" t="inlineStr">
        <is>
          <t>Gợi ý chấm đúng nguồn</t>
        </is>
      </c>
      <c r="B13" s="2" t="inlineStr">
        <is>
          <t>3 điểm nếu đúng file và đúng vị trí; 2 điểm nếu đúng file nhưng thiếu vị trí; 1 điểm nếu cùng nhóm nguồn nhưng chưa đúng file; 0 điểm nếu sai nguồn.</t>
        </is>
      </c>
    </row>
    <row r="14">
      <c r="A14" s="2" t="inlineStr">
        <is>
          <t>Gợi ý chấm đúng trọng tâm</t>
        </is>
      </c>
      <c r="B14" s="2" t="inlineStr">
        <is>
          <t>3 điểm nếu trả lời trực tiếp câu hỏi; 2 điểm nếu đúng nhưng lan man; 1 điểm nếu chỉ liên quan một phần; 0 điểm nếu lạc đề.</t>
        </is>
      </c>
    </row>
    <row r="15">
      <c r="A15" s="2" t="inlineStr">
        <is>
          <t>Gợi ý chấm đủ ý</t>
        </is>
      </c>
      <c r="B15" s="2" t="inlineStr">
        <is>
          <t>Dựa vào cột Ý bắt buộc phải có và Đáp án chuẩn rút gọn.</t>
        </is>
      </c>
    </row>
    <row r="16">
      <c r="A16" s="2" t="inlineStr">
        <is>
          <t>Keyword cấm</t>
        </is>
      </c>
      <c r="B16" s="2" t="inlineStr">
        <is>
          <t>Nếu câu trả lời chứa keyword cấm hoặc dùng sai đối tượng, cần trừ điểm đúng nguồn/không bịa tùy mức độ.</t>
        </is>
      </c>
    </row>
    <row r="17">
      <c r="A17" s="2" t="inlineStr">
        <is>
          <t>Lưu ý</t>
        </is>
      </c>
      <c r="B17" s="2" t="inlineStr">
        <is>
          <t>Bộ này sinh từ PCNTT_MAPPING_FILE.docx, gồm đúng 80 câu hỏi gốc, không thêm biến thể.</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2026-07-24T02:43:43Z</dcterms:created>
  <dcterms:modified xmlns:dcterms="http://purl.org/dc/terms/" xmlns:xsi="http://www.w3.org/2001/XMLSchema-instance" xsi:type="dcterms:W3CDTF">2026-07-24T02:43:43Z</dcterms:modified>
</cp:coreProperties>
</file>